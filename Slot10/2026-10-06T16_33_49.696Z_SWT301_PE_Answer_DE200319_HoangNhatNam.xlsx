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2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m/dd"/>
    <numFmt numFmtId="166" formatCode="d\-mmm\-yy;@"/>
  </numFmts>
  <fonts count="31">
    <font>
      <name val="Calibri"/>
      <charset val="1"/>
      <family val="2"/>
      <color theme="1"/>
      <sz val="11"/>
    </font>
    <font>
      <name val="ＭＳ Ｐゴシック"/>
      <charset val="128"/>
      <family val="3"/>
      <sz val="11"/>
    </font>
    <font>
      <name val="Calibri"/>
      <charset val="1"/>
      <family val="2"/>
      <b val="1"/>
      <color theme="1"/>
      <sz val="11"/>
    </font>
    <font>
      <name val="Calibri"/>
      <charset val="1"/>
      <family val="2"/>
      <color rgb="FF0070C0"/>
      <sz val="11"/>
    </font>
    <font>
      <name val="Tahoma"/>
      <charset val="1"/>
      <family val="2"/>
      <b val="1"/>
      <sz val="8"/>
    </font>
    <font>
      <name val="Tahoma"/>
      <charset val="1"/>
      <family val="2"/>
      <b val="1"/>
      <color rgb="FF0070C0"/>
      <sz val="8"/>
    </font>
    <font>
      <name val="Tahoma"/>
      <charset val="1"/>
      <family val="2"/>
      <sz val="8"/>
    </font>
    <font>
      <name val="Tahoma"/>
      <charset val="1"/>
      <color rgb="FF000000"/>
      <sz val="8"/>
    </font>
    <font>
      <name val="Tahoma"/>
      <charset val="1"/>
      <family val="2"/>
      <i val="1"/>
      <sz val="8"/>
    </font>
    <font>
      <name val="Tahoma"/>
      <charset val="1"/>
      <family val="2"/>
      <b val="1"/>
      <color rgb="FFFFFFFF"/>
      <sz val="10"/>
    </font>
    <font>
      <name val="Tahoma"/>
      <charset val="1"/>
      <family val="2"/>
      <color rgb="FFFFFFFF"/>
      <sz val="8"/>
    </font>
    <font>
      <name val="Tahoma"/>
      <charset val="1"/>
      <family val="2"/>
      <b val="1"/>
      <color theme="1"/>
      <sz val="8"/>
    </font>
    <font>
      <name val="Tahoma"/>
      <charset val="1"/>
      <family val="2"/>
      <b val="1"/>
      <color rgb="FFFFFFFF"/>
      <sz val="8"/>
    </font>
    <font>
      <name val="Tahoma"/>
      <charset val="1"/>
      <family val="2"/>
      <b val="1"/>
      <sz val="12"/>
    </font>
    <font>
      <name val="Tahoma"/>
      <charset val="1"/>
      <family val="2"/>
      <i val="1"/>
      <color theme="4"/>
      <sz val="8"/>
    </font>
    <font>
      <name val="Tahoma"/>
      <charset val="1"/>
      <family val="2"/>
      <color theme="4"/>
      <sz val="8"/>
    </font>
    <font>
      <name val="Tahoma"/>
      <charset val="1"/>
      <b val="1"/>
      <color rgb="FF000000"/>
      <sz val="8"/>
    </font>
    <font>
      <name val="Tahoma"/>
      <charset val="1"/>
      <b val="1"/>
      <color rgb="FF000000"/>
      <sz val="12"/>
    </font>
    <font>
      <name val="Tahoma"/>
      <charset val="1"/>
      <family val="2"/>
      <sz val="11"/>
    </font>
    <font>
      <name val="Tahoma"/>
      <charset val="1"/>
      <family val="2"/>
      <color rgb="FF008000"/>
      <sz val="8"/>
    </font>
    <font>
      <name val="Arial"/>
      <family val="2"/>
      <sz val="10"/>
    </font>
    <font>
      <name val="Tahoma"/>
      <charset val="1"/>
      <family val="2"/>
      <b val="1"/>
      <sz val="16"/>
    </font>
    <font>
      <name val="Calibri"/>
      <charset val="1"/>
      <family val="2"/>
      <color theme="1"/>
      <sz val="10"/>
    </font>
    <font>
      <name val="Calibri"/>
      <charset val="1"/>
      <family val="2"/>
      <color theme="10"/>
      <sz val="11"/>
      <u val="single"/>
    </font>
    <font>
      <name val="Tahoma"/>
      <charset val="1"/>
      <family val="2"/>
      <b val="1"/>
      <color rgb="FF0000FF"/>
      <sz val="10"/>
      <u val="single"/>
    </font>
    <font>
      <name val="Tahoma"/>
      <charset val="1"/>
      <family val="2"/>
      <sz val="10"/>
    </font>
    <font>
      <name val="Tahoma"/>
      <charset val="1"/>
      <family val="2"/>
      <b val="1"/>
      <sz val="10"/>
    </font>
    <font>
      <name val="Tahoma"/>
      <charset val="1"/>
      <family val="2"/>
      <color rgb="FF0070C0"/>
      <sz val="10"/>
    </font>
    <font>
      <name val="Tahoma"/>
      <charset val="1"/>
      <family val="2"/>
      <color rgb="FF0070C0"/>
      <sz val="8"/>
    </font>
    <font>
      <name val="Calibri"/>
      <color rgb="00000000"/>
      <sz val="11"/>
    </font>
    <font>
      <name val="Calibri"/>
      <color rgb="00000000"/>
      <sz val="10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4">
    <xf numFmtId="0" fontId="0" fillId="0" borderId="0"/>
    <xf numFmtId="0" fontId="23" fillId="0" borderId="0"/>
    <xf numFmtId="0" fontId="1" fillId="0" borderId="0"/>
    <xf numFmtId="0" fontId="1" fillId="0" borderId="0"/>
  </cellStyleXfs>
  <cellXfs count="144">
    <xf numFmtId="0" fontId="0" fillId="0" borderId="0" pivotButton="0" quotePrefix="0" xfId="0"/>
    <xf numFmtId="0" fontId="6" fillId="2" borderId="10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6" applyAlignment="1" pivotButton="0" quotePrefix="0" xfId="0">
      <alignment horizontal="center" vertical="center"/>
    </xf>
    <xf numFmtId="0" fontId="7" fillId="3" borderId="9" applyAlignment="1" pivotButton="0" quotePrefix="0" xfId="0">
      <alignment horizontal="left" vertical="center" wrapText="1"/>
    </xf>
    <xf numFmtId="0" fontId="6" fillId="2" borderId="9" applyAlignment="1" pivotButton="0" quotePrefix="0" xfId="0">
      <alignment horizontal="center" wrapText="1"/>
    </xf>
    <xf numFmtId="0" fontId="4" fillId="2" borderId="1" applyAlignment="1" pivotButton="0" quotePrefix="0" xfId="0">
      <alignment horizontal="left" wrapText="1"/>
    </xf>
    <xf numFmtId="0" fontId="7" fillId="3" borderId="7" applyAlignment="1" pivotButton="0" quotePrefix="0" xfId="0">
      <alignment horizontal="center" wrapText="1"/>
    </xf>
    <xf numFmtId="0" fontId="4" fillId="2" borderId="6" applyAlignment="1" pivotButton="0" quotePrefix="0" xfId="0">
      <alignment horizontal="left" wrapText="1"/>
    </xf>
    <xf numFmtId="49" fontId="7" fillId="3" borderId="5" applyAlignment="1" pivotButton="0" quotePrefix="0" xfId="0">
      <alignment horizontal="center" wrapText="1"/>
    </xf>
    <xf numFmtId="0" fontId="4" fillId="2" borderId="4" applyAlignment="1" pivotButton="0" quotePrefix="0" xfId="0">
      <alignment horizontal="left" wrapText="1"/>
    </xf>
    <xf numFmtId="49" fontId="7" fillId="3" borderId="3" applyAlignment="1" pivotButton="0" quotePrefix="0" xfId="0">
      <alignment horizontal="left" wrapText="1"/>
    </xf>
    <xf numFmtId="0" fontId="4" fillId="2" borderId="2" applyAlignment="1" pivotButton="0" quotePrefix="0" xfId="0">
      <alignment horizontal="left" wrapText="1"/>
    </xf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horizontal="right" vertical="top"/>
    </xf>
    <xf numFmtId="0" fontId="4" fillId="0" borderId="0" pivotButton="0" quotePrefix="0" xfId="3"/>
    <xf numFmtId="0" fontId="5" fillId="0" borderId="0" pivotButton="0" quotePrefix="0" xfId="3"/>
    <xf numFmtId="0" fontId="6" fillId="0" borderId="0" pivotButton="0" quotePrefix="0" xfId="3"/>
    <xf numFmtId="0" fontId="4" fillId="0" borderId="0" applyAlignment="1" pivotButton="0" quotePrefix="0" xfId="3">
      <alignment horizontal="left"/>
    </xf>
    <xf numFmtId="0" fontId="6" fillId="0" borderId="0" applyAlignment="1" pivotButton="0" quotePrefix="0" xfId="3">
      <alignment horizontal="right"/>
    </xf>
    <xf numFmtId="0" fontId="6" fillId="0" borderId="0" applyAlignment="1" pivotButton="0" quotePrefix="0" xfId="3">
      <alignment horizontal="center"/>
    </xf>
    <xf numFmtId="0" fontId="8" fillId="3" borderId="8" applyAlignment="1" pivotButton="0" quotePrefix="0" xfId="0">
      <alignment horizontal="left" wrapText="1"/>
    </xf>
    <xf numFmtId="0" fontId="6" fillId="2" borderId="12" applyAlignment="1" pivotButton="0" quotePrefix="0" xfId="0">
      <alignment horizontal="center" vertical="center"/>
    </xf>
    <xf numFmtId="0" fontId="6" fillId="0" borderId="14" pivotButton="0" quotePrefix="0" xfId="0"/>
    <xf numFmtId="0" fontId="10" fillId="2" borderId="16" pivotButton="0" quotePrefix="0" xfId="0"/>
    <xf numFmtId="0" fontId="11" fillId="2" borderId="17" applyAlignment="1" pivotButton="0" quotePrefix="0" xfId="0">
      <alignment horizontal="left" vertical="top" textRotation="180"/>
    </xf>
    <xf numFmtId="0" fontId="12" fillId="2" borderId="17" applyAlignment="1" pivotButton="0" quotePrefix="0" xfId="0">
      <alignment horizontal="left" vertical="top" textRotation="180"/>
    </xf>
    <xf numFmtId="0" fontId="12" fillId="2" borderId="18" applyAlignment="1" pivotButton="0" quotePrefix="0" xfId="0">
      <alignment horizontal="left" vertical="top" textRotation="180"/>
    </xf>
    <xf numFmtId="0" fontId="4" fillId="0" borderId="0" pivotButton="0" quotePrefix="0" xfId="0"/>
    <xf numFmtId="49" fontId="6" fillId="0" borderId="0" applyAlignment="1" pivotButton="0" quotePrefix="0" xfId="0">
      <alignment horizontal="center"/>
    </xf>
    <xf numFmtId="0" fontId="11" fillId="2" borderId="19" applyAlignment="1" pivotButton="0" quotePrefix="0" xfId="0">
      <alignment vertical="center"/>
    </xf>
    <xf numFmtId="0" fontId="4" fillId="3" borderId="20" applyAlignment="1" pivotButton="0" quotePrefix="0" xfId="0">
      <alignment horizontal="left" vertical="top"/>
    </xf>
    <xf numFmtId="0" fontId="6" fillId="3" borderId="21" applyAlignment="1" pivotButton="0" quotePrefix="0" xfId="0">
      <alignment horizontal="center" vertical="top"/>
    </xf>
    <xf numFmtId="0" fontId="6" fillId="3" borderId="22" applyAlignment="1" pivotButton="0" quotePrefix="0" xfId="0">
      <alignment horizontal="right" vertical="top"/>
    </xf>
    <xf numFmtId="0" fontId="8" fillId="4" borderId="23" applyAlignment="1" pivotButton="0" quotePrefix="0" xfId="0">
      <alignment horizontal="right"/>
    </xf>
    <xf numFmtId="0" fontId="13" fillId="0" borderId="24" applyAlignment="1" pivotButton="0" quotePrefix="0" xfId="0">
      <alignment horizontal="center"/>
    </xf>
    <xf numFmtId="0" fontId="13" fillId="0" borderId="25" applyAlignment="1" pivotButton="0" quotePrefix="0" xfId="0">
      <alignment horizontal="center"/>
    </xf>
    <xf numFmtId="0" fontId="11" fillId="2" borderId="26" applyAlignment="1" pivotButton="0" quotePrefix="0" xfId="0">
      <alignment vertical="center"/>
    </xf>
    <xf numFmtId="0" fontId="4" fillId="3" borderId="8" applyAlignment="1" pivotButton="0" quotePrefix="0" xfId="0">
      <alignment horizontal="left" vertical="top"/>
    </xf>
    <xf numFmtId="0" fontId="6" fillId="3" borderId="8" applyAlignment="1" pivotButton="0" quotePrefix="0" xfId="0">
      <alignment horizontal="center" vertical="top"/>
    </xf>
    <xf numFmtId="0" fontId="7" fillId="3" borderId="27" applyAlignment="1" pivotButton="0" quotePrefix="0" xfId="0">
      <alignment horizontal="right" vertical="top"/>
    </xf>
    <xf numFmtId="0" fontId="14" fillId="4" borderId="28" applyAlignment="1" pivotButton="0" quotePrefix="0" xfId="0">
      <alignment horizontal="right"/>
    </xf>
    <xf numFmtId="0" fontId="13" fillId="0" borderId="1" applyAlignment="1" pivotButton="0" quotePrefix="0" xfId="0">
      <alignment horizontal="center"/>
    </xf>
    <xf numFmtId="0" fontId="13" fillId="0" borderId="9" applyAlignment="1" pivotButton="0" quotePrefix="0" xfId="0">
      <alignment horizontal="center"/>
    </xf>
    <xf numFmtId="0" fontId="15" fillId="3" borderId="27" applyAlignment="1" pivotButton="0" quotePrefix="0" xfId="0">
      <alignment horizontal="right" vertical="top"/>
    </xf>
    <xf numFmtId="0" fontId="16" fillId="3" borderId="8" applyAlignment="1" pivotButton="0" quotePrefix="0" xfId="0">
      <alignment horizontal="left" vertical="top"/>
    </xf>
    <xf numFmtId="0" fontId="15" fillId="0" borderId="28" applyAlignment="1" pivotButton="0" quotePrefix="0" xfId="0">
      <alignment vertical="top"/>
    </xf>
    <xf numFmtId="0" fontId="15" fillId="4" borderId="28" applyAlignment="1" pivotButton="0" quotePrefix="0" xfId="0">
      <alignment horizontal="right"/>
    </xf>
    <xf numFmtId="0" fontId="7" fillId="3" borderId="27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/>
    </xf>
    <xf numFmtId="0" fontId="11" fillId="2" borderId="19" applyAlignment="1" pivotButton="0" quotePrefix="0" xfId="0">
      <alignment vertical="top"/>
    </xf>
    <xf numFmtId="0" fontId="4" fillId="3" borderId="2" pivotButton="0" quotePrefix="0" xfId="0"/>
    <xf numFmtId="0" fontId="4" fillId="3" borderId="21" pivotButton="0" quotePrefix="0" xfId="0"/>
    <xf numFmtId="0" fontId="6" fillId="3" borderId="22" applyAlignment="1" pivotButton="0" quotePrefix="0" xfId="0">
      <alignment horizontal="right"/>
    </xf>
    <xf numFmtId="0" fontId="6" fillId="4" borderId="3" applyAlignment="1" pivotButton="0" quotePrefix="0" xfId="0">
      <alignment horizontal="left"/>
    </xf>
    <xf numFmtId="0" fontId="13" fillId="0" borderId="3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1" fillId="2" borderId="26" applyAlignment="1" pivotButton="0" quotePrefix="0" xfId="0">
      <alignment vertical="top"/>
    </xf>
    <xf numFmtId="0" fontId="4" fillId="3" borderId="29" pivotButton="0" quotePrefix="0" xfId="0"/>
    <xf numFmtId="0" fontId="18" fillId="3" borderId="8" pivotButton="0" quotePrefix="0" xfId="0"/>
    <xf numFmtId="0" fontId="6" fillId="4" borderId="1" pivotButton="0" quotePrefix="0" xfId="0"/>
    <xf numFmtId="0" fontId="6" fillId="3" borderId="27" applyAlignment="1" pivotButton="0" quotePrefix="0" xfId="0">
      <alignment horizontal="right"/>
    </xf>
    <xf numFmtId="0" fontId="15" fillId="3" borderId="27" applyAlignment="1" pivotButton="0" quotePrefix="0" xfId="0">
      <alignment horizontal="right"/>
    </xf>
    <xf numFmtId="0" fontId="11" fillId="2" borderId="30" applyAlignment="1" pivotButton="0" quotePrefix="0" xfId="0">
      <alignment vertical="top"/>
    </xf>
    <xf numFmtId="0" fontId="4" fillId="3" borderId="31" pivotButton="0" quotePrefix="0" xfId="0"/>
    <xf numFmtId="0" fontId="6" fillId="3" borderId="32" pivotButton="0" quotePrefix="0" xfId="0"/>
    <xf numFmtId="0" fontId="15" fillId="3" borderId="33" applyAlignment="1" pivotButton="0" quotePrefix="0" xfId="0">
      <alignment horizontal="right"/>
    </xf>
    <xf numFmtId="0" fontId="6" fillId="4" borderId="11" applyAlignment="1" pivotButton="0" quotePrefix="0" xfId="0">
      <alignment horizontal="left"/>
    </xf>
    <xf numFmtId="0" fontId="13" fillId="0" borderId="11" applyAlignment="1" pivotButton="0" quotePrefix="0" xfId="0">
      <alignment horizontal="center"/>
    </xf>
    <xf numFmtId="0" fontId="13" fillId="0" borderId="13" applyAlignment="1" pivotButton="0" quotePrefix="0" xfId="0">
      <alignment horizontal="center"/>
    </xf>
    <xf numFmtId="0" fontId="6" fillId="0" borderId="24" applyAlignment="1" pivotButton="0" quotePrefix="0" xfId="0">
      <alignment horizontal="left"/>
    </xf>
    <xf numFmtId="0" fontId="6" fillId="0" borderId="24" applyAlignment="1" pivotButton="0" quotePrefix="0" xfId="0">
      <alignment horizontal="center"/>
    </xf>
    <xf numFmtId="0" fontId="6" fillId="0" borderId="25" applyAlignment="1" pivotButton="0" quotePrefix="0" xfId="0">
      <alignment horizontal="center"/>
    </xf>
    <xf numFmtId="0" fontId="19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6" fillId="0" borderId="9" applyAlignment="1" pivotButton="0" quotePrefix="0" xfId="0">
      <alignment horizontal="center"/>
    </xf>
    <xf numFmtId="0" fontId="6" fillId="0" borderId="1" pivotButton="0" quotePrefix="0" xfId="0"/>
    <xf numFmtId="164" fontId="7" fillId="0" borderId="1" applyAlignment="1" pivotButton="0" quotePrefix="0" xfId="0">
      <alignment horizontal="center" vertical="center" textRotation="90"/>
    </xf>
    <xf numFmtId="165" fontId="6" fillId="0" borderId="1" applyAlignment="1" pivotButton="0" quotePrefix="0" xfId="0">
      <alignment horizontal="right" vertical="top" textRotation="255"/>
    </xf>
    <xf numFmtId="165" fontId="6" fillId="0" borderId="9" applyAlignment="1" pivotButton="0" quotePrefix="0" xfId="0">
      <alignment horizontal="right" vertical="top" textRotation="255"/>
    </xf>
    <xf numFmtId="0" fontId="6" fillId="0" borderId="11" pivotButton="0" quotePrefix="0" xfId="0"/>
    <xf numFmtId="0" fontId="6" fillId="0" borderId="11" applyAlignment="1" pivotButton="0" quotePrefix="0" xfId="0">
      <alignment horizontal="right" textRotation="255"/>
    </xf>
    <xf numFmtId="0" fontId="6" fillId="0" borderId="13" applyAlignment="1" pivotButton="0" quotePrefix="0" xfId="0">
      <alignment horizontal="right" textRotation="255"/>
    </xf>
    <xf numFmtId="0" fontId="5" fillId="0" borderId="0" pivotButton="0" quotePrefix="0" xfId="0"/>
    <xf numFmtId="0" fontId="6" fillId="2" borderId="0" pivotButton="0" quotePrefix="0" xfId="0"/>
    <xf numFmtId="0" fontId="4" fillId="2" borderId="0" applyAlignment="1" pivotButton="0" quotePrefix="0" xfId="0">
      <alignment horizontal="left"/>
    </xf>
    <xf numFmtId="0" fontId="6" fillId="0" borderId="0" pivotButton="0" quotePrefix="0" xfId="0"/>
    <xf numFmtId="0" fontId="22" fillId="0" borderId="0" pivotButton="0" quotePrefix="0" xfId="0"/>
    <xf numFmtId="0" fontId="24" fillId="0" borderId="35" applyAlignment="1" pivotButton="0" quotePrefix="0" xfId="1">
      <alignment horizontal="left" vertical="top" wrapText="1"/>
    </xf>
    <xf numFmtId="0" fontId="25" fillId="0" borderId="35" applyAlignment="1" pivotButton="0" quotePrefix="0" xfId="0">
      <alignment horizontal="left" vertical="top" wrapText="1"/>
    </xf>
    <xf numFmtId="0" fontId="25" fillId="0" borderId="35" applyAlignment="1" pivotButton="0" quotePrefix="0" xfId="0">
      <alignment vertical="top" wrapText="1"/>
    </xf>
    <xf numFmtId="0" fontId="25" fillId="0" borderId="0" pivotButton="0" quotePrefix="0" xfId="0"/>
    <xf numFmtId="0" fontId="26" fillId="0" borderId="35" applyAlignment="1" pivotButton="0" quotePrefix="0" xfId="2">
      <alignment horizontal="left" vertical="top" wrapText="1"/>
    </xf>
    <xf numFmtId="0" fontId="27" fillId="0" borderId="36" applyAlignment="1" pivotButton="0" quotePrefix="0" xfId="2">
      <alignment horizontal="left" vertical="top" wrapText="1"/>
    </xf>
    <xf numFmtId="0" fontId="25" fillId="0" borderId="35" applyAlignment="1" pivotButton="0" quotePrefix="0" xfId="2">
      <alignment horizontal="left" vertical="top" wrapText="1"/>
    </xf>
    <xf numFmtId="0" fontId="4" fillId="2" borderId="1" applyAlignment="1" pivotButton="0" quotePrefix="0" xfId="2">
      <alignment horizontal="center" vertical="center" wrapText="1"/>
    </xf>
    <xf numFmtId="0" fontId="28" fillId="3" borderId="1" applyAlignment="1" pivotButton="0" quotePrefix="0" xfId="2">
      <alignment horizontal="left" vertical="top" wrapText="1"/>
    </xf>
    <xf numFmtId="0" fontId="28" fillId="3" borderId="1" applyAlignment="1" pivotButton="0" quotePrefix="0" xfId="0">
      <alignment horizontal="left" vertical="top"/>
    </xf>
    <xf numFmtId="0" fontId="28" fillId="3" borderId="1" applyAlignment="1" pivotButton="0" quotePrefix="0" xfId="0">
      <alignment horizontal="left" vertical="top" wrapText="1"/>
    </xf>
    <xf numFmtId="16" fontId="28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/>
    </xf>
    <xf numFmtId="0" fontId="6" fillId="3" borderId="1" applyAlignment="1" pivotButton="0" quotePrefix="0" xfId="0">
      <alignment horizontal="left" vertical="top" wrapText="1"/>
    </xf>
    <xf numFmtId="16" fontId="6" fillId="3" borderId="1" applyAlignment="1" pivotButton="0" quotePrefix="0" xfId="0">
      <alignment horizontal="left" vertical="top"/>
    </xf>
    <xf numFmtId="0" fontId="6" fillId="3" borderId="1" applyAlignment="1" pivotButton="0" quotePrefix="0" xfId="2">
      <alignment vertical="top" wrapText="1"/>
    </xf>
    <xf numFmtId="0" fontId="6" fillId="3" borderId="1" applyAlignment="1" pivotButton="0" quotePrefix="0" xfId="0">
      <alignment vertical="top" wrapText="1"/>
    </xf>
    <xf numFmtId="16" fontId="6" fillId="3" borderId="1" applyAlignment="1" pivotButton="0" quotePrefix="0" xfId="0">
      <alignment vertical="top"/>
    </xf>
    <xf numFmtId="0" fontId="6" fillId="2" borderId="11" applyAlignment="1" pivotButton="0" quotePrefix="0" xfId="0">
      <alignment horizontal="center" vertical="center"/>
    </xf>
    <xf numFmtId="0" fontId="6" fillId="2" borderId="13" applyAlignment="1" pivotButton="0" quotePrefix="0" xfId="0">
      <alignment horizontal="center" vertical="center"/>
    </xf>
    <xf numFmtId="166" fontId="9" fillId="2" borderId="15" applyAlignment="1" pivotButton="0" quotePrefix="0" xfId="0">
      <alignment horizontal="center" vertical="center"/>
    </xf>
    <xf numFmtId="0" fontId="6" fillId="0" borderId="34" applyAlignment="1" pivotButton="0" quotePrefix="0" xfId="0">
      <alignment horizontal="left"/>
    </xf>
    <xf numFmtId="0" fontId="6" fillId="0" borderId="27" applyAlignment="1" pivotButton="0" quotePrefix="0" xfId="0">
      <alignment horizontal="left"/>
    </xf>
    <xf numFmtId="0" fontId="6" fillId="0" borderId="27" applyAlignment="1" pivotButton="0" quotePrefix="0" xfId="0">
      <alignment horizontal="left" vertical="top"/>
    </xf>
    <xf numFmtId="0" fontId="6" fillId="0" borderId="33" applyAlignment="1" pivotButton="0" quotePrefix="0" xfId="0">
      <alignment horizontal="left" vertical="top"/>
    </xf>
    <xf numFmtId="0" fontId="21" fillId="0" borderId="0" applyAlignment="1" pivotButton="0" quotePrefix="0" xfId="2">
      <alignment horizontal="center" vertical="top" wrapText="1"/>
    </xf>
    <xf numFmtId="0" fontId="6" fillId="0" borderId="0" applyAlignment="1" pivotButton="0" quotePrefix="0" xfId="0">
      <alignment horizontal="left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41" pivotButton="0" quotePrefix="0" xfId="0"/>
    <xf numFmtId="0" fontId="0" fillId="0" borderId="44" pivotButton="0" quotePrefix="0" xfId="0"/>
    <xf numFmtId="0" fontId="0" fillId="0" borderId="27" pivotButton="0" quotePrefix="0" xfId="0"/>
    <xf numFmtId="0" fontId="0" fillId="0" borderId="8" pivotButton="0" quotePrefix="0" xfId="0"/>
    <xf numFmtId="0" fontId="0" fillId="0" borderId="42" pivotButton="0" quotePrefix="0" xfId="0"/>
    <xf numFmtId="0" fontId="0" fillId="0" borderId="33" pivotButton="0" quotePrefix="0" xfId="0"/>
    <xf numFmtId="0" fontId="0" fillId="0" borderId="32" pivotButton="0" quotePrefix="0" xfId="0"/>
    <xf numFmtId="0" fontId="0" fillId="0" borderId="40" pivotButton="0" quotePrefix="0" xfId="0"/>
    <xf numFmtId="166" fontId="9" fillId="2" borderId="1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0" pivotButton="0" quotePrefix="0" xfId="0"/>
    <xf numFmtId="0" fontId="0" fillId="0" borderId="34" pivotButton="0" quotePrefix="0" xfId="0"/>
    <xf numFmtId="164" fontId="7" fillId="0" borderId="1" applyAlignment="1" pivotButton="0" quotePrefix="0" xfId="0">
      <alignment horizontal="center" vertical="center" textRotation="90"/>
    </xf>
    <xf numFmtId="165" fontId="6" fillId="0" borderId="1" applyAlignment="1" pivotButton="0" quotePrefix="0" xfId="0">
      <alignment horizontal="right" vertical="top" textRotation="255"/>
    </xf>
    <xf numFmtId="165" fontId="6" fillId="0" borderId="9" applyAlignment="1" pivotButton="0" quotePrefix="0" xfId="0">
      <alignment horizontal="right" vertical="top" textRotation="255"/>
    </xf>
    <xf numFmtId="0" fontId="29" fillId="0" borderId="1" applyAlignment="1" pivotButton="0" quotePrefix="0" xfId="0">
      <alignment vertical="top" wrapText="1"/>
    </xf>
    <xf numFmtId="0" fontId="30" fillId="3" borderId="1" applyAlignment="1" pivotButton="0" quotePrefix="0" xfId="2">
      <alignment vertical="top" wrapText="1"/>
    </xf>
    <xf numFmtId="0" fontId="30" fillId="3" borderId="1" applyAlignment="1" pivotButton="0" quotePrefix="0" xfId="0">
      <alignment vertical="top" wrapText="1"/>
    </xf>
    <xf numFmtId="16" fontId="30" fillId="3" borderId="1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30" fillId="0" borderId="0" applyAlignment="1" pivotButton="0" quotePrefix="0" xfId="3">
      <alignment vertical="top" wrapText="1"/>
    </xf>
  </cellXfs>
  <cellStyles count="4">
    <cellStyle name="Normal" xfId="0" builtinId="0"/>
    <cellStyle name="Hyperlink" xfId="1" builtinId="8"/>
    <cellStyle name="Normal_Sheet1" xfId="2"/>
    <cellStyle name="Normal_Template_UnitTest Case_v0.9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J37" authorId="0" shapeId="0">
      <text>
        <t>Expected (spec): excess = 40 - 25 = 15 kg -&gt; 10 x 12 + 5 x 15 = 195 USD.
Actual (code): "Fee: 225 USD". Line 12 applies 15 USD/kg to the WHOLE excess instead of only to the part above 10 kg.</t>
      </text>
    </comment>
  </commentList>
</comments>
</file>

<file path=xl/comments/comment2.xml><?xml version="1.0" encoding="utf-8"?>
<comments xmlns="http://schemas.openxmlformats.org/spreadsheetml/2006/main">
  <authors>
    <author>Unknown Author</author>
  </authors>
  <commentList>
    <comment ref="G4" authorId="0" shapeId="0">
      <text>
        <t xml:space="preserve">Pass
Fail
Untested
N/A
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zoomScaleNormal="100" workbookViewId="0">
      <selection activeCell="A1" sqref="A1"/>
    </sheetView>
  </sheetViews>
  <sheetFormatPr baseColWidth="8" defaultColWidth="8.6328125" defaultRowHeight="14.5"/>
  <cols>
    <col width="10" customWidth="1" min="1" max="1"/>
    <col width="35" customWidth="1" min="2" max="2"/>
    <col width="30" customWidth="1" min="3" max="3"/>
    <col width="50" customWidth="1" min="4" max="4"/>
  </cols>
  <sheetData>
    <row r="1">
      <c r="A1" s="15" t="inlineStr">
        <is>
          <t>Issue No</t>
        </is>
      </c>
      <c r="B1" s="15" t="inlineStr">
        <is>
          <t>Description</t>
        </is>
      </c>
      <c r="C1" s="15" t="inlineStr">
        <is>
          <t>Line</t>
        </is>
      </c>
      <c r="D1" s="15" t="inlineStr">
        <is>
          <t>Detail</t>
        </is>
      </c>
    </row>
    <row r="2">
      <c r="A2" s="138" t="n">
        <v>1</v>
      </c>
      <c r="B2" s="138" t="inlineStr">
        <is>
          <t>Magic numbers used in fee calculations without constants (e.g., 12, 15, 40000, 20000, 3000, 5000).</t>
        </is>
      </c>
      <c r="C2" s="138" t="inlineStr">
        <is>
          <t>calcBaggageFee line 11, 12 / calcOrderFee line 4, 10, 12</t>
        </is>
      </c>
      <c r="D2" s="138" t="inlineStr">
        <is>
          <t>Hardcoded multiplier values reduce code maintainability and readability.</t>
        </is>
      </c>
    </row>
    <row r="3">
      <c r="A3" s="138" t="n">
        <v>2</v>
      </c>
      <c r="B3" s="138" t="inlineStr">
        <is>
          <t>Potential precision or validation consideration when using double type for orderValue.</t>
        </is>
      </c>
      <c r="C3" s="138" t="inlineStr">
        <is>
          <t>calcOrderFee line 2</t>
        </is>
      </c>
      <c r="D3" s="138" t="inlineStr">
        <is>
          <t>Comparing double values with &lt;= 0 might be prone to precision issues or negative zero representation.</t>
        </is>
      </c>
    </row>
    <row r="4">
      <c r="A4" s="138" t="n">
        <v>3</v>
      </c>
      <c r="B4" s="138" t="inlineStr">
        <is>
          <t>Redundant or complex compound condition logic in input validation check.</t>
        </is>
      </c>
      <c r="C4" s="138" t="inlineStr">
        <is>
          <t>calcBaggageFee line 2</t>
        </is>
      </c>
      <c r="D4" s="138" t="inlineStr">
        <is>
          <t>The condition (weightKg &lt;= 0 || weightKg &gt; 40) is correct but compound conditions should be carefully tested for MC/DC.</t>
        </is>
      </c>
    </row>
    <row r="5">
      <c r="A5" s="138" t="n">
        <v>4</v>
      </c>
      <c r="B5" s="138" t="inlineStr">
        <is>
          <t>Lack of encapsulation or extraction into smaller private helper methods for fee calculation.</t>
        </is>
      </c>
      <c r="C5" s="138" t="inlineStr">
        <is>
          <t>calcBaggageFee / calcOrderFee methods</t>
        </is>
      </c>
      <c r="D5" s="138" t="inlineStr">
        <is>
          <t>Methods contain mixed responsibilities (validation, business logic computation, and string formatting).</t>
        </is>
      </c>
    </row>
    <row r="6">
      <c r="A6" s="138" t="n">
        <v>5</v>
      </c>
      <c r="B6" s="138" t="inlineStr">
        <is>
          <t>Potential string concatenation overhead inside return statements.</t>
        </is>
      </c>
      <c r="C6" s="138" t="inlineStr">
        <is>
          <t>calcBaggageFee line 3, 8, 11, 12</t>
        </is>
      </c>
      <c r="D6" s="138" t="inlineStr">
        <is>
          <t>Repeated string formatting and concatenation can be optimized or replaced with String.format().</t>
        </is>
      </c>
    </row>
    <row r="7">
      <c r="A7" s="138" t="n">
        <v>6</v>
      </c>
      <c r="B7" s="138" t="inlineStr">
        <is>
          <t>Inconsistent parameter naming conventions or missing final modifiers for input parameters.</t>
        </is>
      </c>
      <c r="C7" s="138" t="inlineStr">
        <is>
          <t>Method signatures (line 1)</t>
        </is>
      </c>
      <c r="D7" s="138" t="inlineStr">
        <is>
          <t>Input parameters are mutable within the method scope; adding 'final' keyword improves safety.</t>
        </is>
      </c>
    </row>
    <row r="8"/>
    <row r="9">
      <c r="A9" s="21" t="n"/>
      <c r="B9" s="22" t="n"/>
      <c r="C9" s="22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"/>
  <sheetViews>
    <sheetView topLeftCell="A3" zoomScale="77" zoomScaleNormal="77" workbookViewId="0">
      <selection activeCell="AD19" sqref="AD19"/>
    </sheetView>
  </sheetViews>
  <sheetFormatPr baseColWidth="8" defaultColWidth="9" defaultRowHeight="10"/>
  <cols>
    <col width="8.08984375" customWidth="1" style="23" min="1" max="1"/>
    <col width="13.36328125" customWidth="1" style="24" min="2" max="2"/>
    <col width="10.81640625" customWidth="1" style="23" min="3" max="3"/>
    <col width="11.36328125" customWidth="1" style="25" min="4" max="4"/>
    <col hidden="1" width="1.81640625" customWidth="1" style="23" min="5" max="5"/>
    <col width="2.90625" customWidth="1" style="23" min="6" max="21"/>
    <col width="9" customWidth="1" style="26" min="22" max="22"/>
    <col width="24.1796875" customWidth="1" style="23" min="23" max="23"/>
    <col width="9" customWidth="1" style="23" min="24" max="24"/>
    <col width="15.08984375" customWidth="1" style="23" min="25" max="25"/>
    <col width="9" customWidth="1" style="23" min="26" max="256"/>
    <col width="8.08984375" customWidth="1" style="23" min="257" max="257"/>
    <col width="13.36328125" customWidth="1" style="23" min="258" max="258"/>
    <col width="10.81640625" customWidth="1" style="23" min="259" max="259"/>
    <col width="11.36328125" customWidth="1" style="23" min="260" max="260"/>
    <col hidden="1" width="11.54296875" customWidth="1" style="23" min="261" max="261"/>
    <col width="2.90625" customWidth="1" style="23" min="262" max="277"/>
    <col width="9" customWidth="1" style="23" min="278" max="512"/>
    <col width="8.08984375" customWidth="1" style="23" min="513" max="513"/>
    <col width="13.36328125" customWidth="1" style="23" min="514" max="514"/>
    <col width="10.81640625" customWidth="1" style="23" min="515" max="515"/>
    <col width="11.36328125" customWidth="1" style="23" min="516" max="516"/>
    <col hidden="1" width="11.54296875" customWidth="1" style="23" min="517" max="517"/>
    <col width="2.90625" customWidth="1" style="23" min="518" max="533"/>
    <col width="9" customWidth="1" style="23" min="534" max="768"/>
    <col width="8.08984375" customWidth="1" style="23" min="769" max="769"/>
    <col width="13.36328125" customWidth="1" style="23" min="770" max="770"/>
    <col width="10.81640625" customWidth="1" style="23" min="771" max="771"/>
    <col width="11.36328125" customWidth="1" style="23" min="772" max="772"/>
    <col hidden="1" width="11.54296875" customWidth="1" style="23" min="773" max="773"/>
    <col width="2.90625" customWidth="1" style="23" min="774" max="789"/>
    <col width="9" customWidth="1" style="23" min="790" max="1024"/>
    <col width="8.08984375" customWidth="1" style="23" min="1025" max="1025"/>
    <col width="13.36328125" customWidth="1" style="23" min="1026" max="1026"/>
    <col width="10.81640625" customWidth="1" style="23" min="1027" max="1027"/>
    <col width="11.36328125" customWidth="1" style="23" min="1028" max="1028"/>
    <col hidden="1" width="11.54296875" customWidth="1" style="23" min="1029" max="1029"/>
    <col width="2.90625" customWidth="1" style="23" min="1030" max="1045"/>
    <col width="9" customWidth="1" style="23" min="1046" max="1280"/>
    <col width="8.08984375" customWidth="1" style="23" min="1281" max="1281"/>
    <col width="13.36328125" customWidth="1" style="23" min="1282" max="1282"/>
    <col width="10.81640625" customWidth="1" style="23" min="1283" max="1283"/>
    <col width="11.36328125" customWidth="1" style="23" min="1284" max="1284"/>
    <col hidden="1" width="11.54296875" customWidth="1" style="23" min="1285" max="1285"/>
    <col width="2.90625" customWidth="1" style="23" min="1286" max="1301"/>
    <col width="9" customWidth="1" style="23" min="1302" max="1536"/>
    <col width="8.08984375" customWidth="1" style="23" min="1537" max="1537"/>
    <col width="13.36328125" customWidth="1" style="23" min="1538" max="1538"/>
    <col width="10.81640625" customWidth="1" style="23" min="1539" max="1539"/>
    <col width="11.36328125" customWidth="1" style="23" min="1540" max="1540"/>
    <col hidden="1" width="11.54296875" customWidth="1" style="23" min="1541" max="1541"/>
    <col width="2.90625" customWidth="1" style="23" min="1542" max="1557"/>
    <col width="9" customWidth="1" style="23" min="1558" max="1792"/>
    <col width="8.08984375" customWidth="1" style="23" min="1793" max="1793"/>
    <col width="13.36328125" customWidth="1" style="23" min="1794" max="1794"/>
    <col width="10.81640625" customWidth="1" style="23" min="1795" max="1795"/>
    <col width="11.36328125" customWidth="1" style="23" min="1796" max="1796"/>
    <col hidden="1" width="11.54296875" customWidth="1" style="23" min="1797" max="1797"/>
    <col width="2.90625" customWidth="1" style="23" min="1798" max="1813"/>
    <col width="9" customWidth="1" style="23" min="1814" max="2048"/>
    <col width="8.08984375" customWidth="1" style="23" min="2049" max="2049"/>
    <col width="13.36328125" customWidth="1" style="23" min="2050" max="2050"/>
    <col width="10.81640625" customWidth="1" style="23" min="2051" max="2051"/>
    <col width="11.36328125" customWidth="1" style="23" min="2052" max="2052"/>
    <col hidden="1" width="11.54296875" customWidth="1" style="23" min="2053" max="2053"/>
    <col width="2.90625" customWidth="1" style="23" min="2054" max="2069"/>
    <col width="9" customWidth="1" style="23" min="2070" max="2304"/>
    <col width="8.08984375" customWidth="1" style="23" min="2305" max="2305"/>
    <col width="13.36328125" customWidth="1" style="23" min="2306" max="2306"/>
    <col width="10.81640625" customWidth="1" style="23" min="2307" max="2307"/>
    <col width="11.36328125" customWidth="1" style="23" min="2308" max="2308"/>
    <col hidden="1" width="11.54296875" customWidth="1" style="23" min="2309" max="2309"/>
    <col width="2.90625" customWidth="1" style="23" min="2310" max="2325"/>
    <col width="9" customWidth="1" style="23" min="2326" max="2560"/>
    <col width="8.08984375" customWidth="1" style="23" min="2561" max="2561"/>
    <col width="13.36328125" customWidth="1" style="23" min="2562" max="2562"/>
    <col width="10.81640625" customWidth="1" style="23" min="2563" max="2563"/>
    <col width="11.36328125" customWidth="1" style="23" min="2564" max="2564"/>
    <col hidden="1" width="11.54296875" customWidth="1" style="23" min="2565" max="2565"/>
    <col width="2.90625" customWidth="1" style="23" min="2566" max="2581"/>
    <col width="9" customWidth="1" style="23" min="2582" max="2816"/>
    <col width="8.08984375" customWidth="1" style="23" min="2817" max="2817"/>
    <col width="13.36328125" customWidth="1" style="23" min="2818" max="2818"/>
    <col width="10.81640625" customWidth="1" style="23" min="2819" max="2819"/>
    <col width="11.36328125" customWidth="1" style="23" min="2820" max="2820"/>
    <col hidden="1" width="11.54296875" customWidth="1" style="23" min="2821" max="2821"/>
    <col width="2.90625" customWidth="1" style="23" min="2822" max="2837"/>
    <col width="9" customWidth="1" style="23" min="2838" max="3072"/>
    <col width="8.08984375" customWidth="1" style="23" min="3073" max="3073"/>
    <col width="13.36328125" customWidth="1" style="23" min="3074" max="3074"/>
    <col width="10.81640625" customWidth="1" style="23" min="3075" max="3075"/>
    <col width="11.36328125" customWidth="1" style="23" min="3076" max="3076"/>
    <col hidden="1" width="11.54296875" customWidth="1" style="23" min="3077" max="3077"/>
    <col width="2.90625" customWidth="1" style="23" min="3078" max="3093"/>
    <col width="9" customWidth="1" style="23" min="3094" max="3328"/>
    <col width="8.08984375" customWidth="1" style="23" min="3329" max="3329"/>
    <col width="13.36328125" customWidth="1" style="23" min="3330" max="3330"/>
    <col width="10.81640625" customWidth="1" style="23" min="3331" max="3331"/>
    <col width="11.36328125" customWidth="1" style="23" min="3332" max="3332"/>
    <col hidden="1" width="11.54296875" customWidth="1" style="23" min="3333" max="3333"/>
    <col width="2.90625" customWidth="1" style="23" min="3334" max="3349"/>
    <col width="9" customWidth="1" style="23" min="3350" max="3584"/>
    <col width="8.08984375" customWidth="1" style="23" min="3585" max="3585"/>
    <col width="13.36328125" customWidth="1" style="23" min="3586" max="3586"/>
    <col width="10.81640625" customWidth="1" style="23" min="3587" max="3587"/>
    <col width="11.36328125" customWidth="1" style="23" min="3588" max="3588"/>
    <col hidden="1" width="11.54296875" customWidth="1" style="23" min="3589" max="3589"/>
    <col width="2.90625" customWidth="1" style="23" min="3590" max="3605"/>
    <col width="9" customWidth="1" style="23" min="3606" max="3840"/>
    <col width="8.08984375" customWidth="1" style="23" min="3841" max="3841"/>
    <col width="13.36328125" customWidth="1" style="23" min="3842" max="3842"/>
    <col width="10.81640625" customWidth="1" style="23" min="3843" max="3843"/>
    <col width="11.36328125" customWidth="1" style="23" min="3844" max="3844"/>
    <col hidden="1" width="11.54296875" customWidth="1" style="23" min="3845" max="3845"/>
    <col width="2.90625" customWidth="1" style="23" min="3846" max="3861"/>
    <col width="9" customWidth="1" style="23" min="3862" max="4096"/>
    <col width="8.08984375" customWidth="1" style="23" min="4097" max="4097"/>
    <col width="13.36328125" customWidth="1" style="23" min="4098" max="4098"/>
    <col width="10.81640625" customWidth="1" style="23" min="4099" max="4099"/>
    <col width="11.36328125" customWidth="1" style="23" min="4100" max="4100"/>
    <col hidden="1" width="11.54296875" customWidth="1" style="23" min="4101" max="4101"/>
    <col width="2.90625" customWidth="1" style="23" min="4102" max="4117"/>
    <col width="9" customWidth="1" style="23" min="4118" max="4352"/>
    <col width="8.08984375" customWidth="1" style="23" min="4353" max="4353"/>
    <col width="13.36328125" customWidth="1" style="23" min="4354" max="4354"/>
    <col width="10.81640625" customWidth="1" style="23" min="4355" max="4355"/>
    <col width="11.36328125" customWidth="1" style="23" min="4356" max="4356"/>
    <col hidden="1" width="11.54296875" customWidth="1" style="23" min="4357" max="4357"/>
    <col width="2.90625" customWidth="1" style="23" min="4358" max="4373"/>
    <col width="9" customWidth="1" style="23" min="4374" max="4608"/>
    <col width="8.08984375" customWidth="1" style="23" min="4609" max="4609"/>
    <col width="13.36328125" customWidth="1" style="23" min="4610" max="4610"/>
    <col width="10.81640625" customWidth="1" style="23" min="4611" max="4611"/>
    <col width="11.36328125" customWidth="1" style="23" min="4612" max="4612"/>
    <col hidden="1" width="11.54296875" customWidth="1" style="23" min="4613" max="4613"/>
    <col width="2.90625" customWidth="1" style="23" min="4614" max="4629"/>
    <col width="9" customWidth="1" style="23" min="4630" max="4864"/>
    <col width="8.08984375" customWidth="1" style="23" min="4865" max="4865"/>
    <col width="13.36328125" customWidth="1" style="23" min="4866" max="4866"/>
    <col width="10.81640625" customWidth="1" style="23" min="4867" max="4867"/>
    <col width="11.36328125" customWidth="1" style="23" min="4868" max="4868"/>
    <col hidden="1" width="11.54296875" customWidth="1" style="23" min="4869" max="4869"/>
    <col width="2.90625" customWidth="1" style="23" min="4870" max="4885"/>
    <col width="9" customWidth="1" style="23" min="4886" max="5120"/>
    <col width="8.08984375" customWidth="1" style="23" min="5121" max="5121"/>
    <col width="13.36328125" customWidth="1" style="23" min="5122" max="5122"/>
    <col width="10.81640625" customWidth="1" style="23" min="5123" max="5123"/>
    <col width="11.36328125" customWidth="1" style="23" min="5124" max="5124"/>
    <col hidden="1" width="11.54296875" customWidth="1" style="23" min="5125" max="5125"/>
    <col width="2.90625" customWidth="1" style="23" min="5126" max="5141"/>
    <col width="9" customWidth="1" style="23" min="5142" max="5376"/>
    <col width="8.08984375" customWidth="1" style="23" min="5377" max="5377"/>
    <col width="13.36328125" customWidth="1" style="23" min="5378" max="5378"/>
    <col width="10.81640625" customWidth="1" style="23" min="5379" max="5379"/>
    <col width="11.36328125" customWidth="1" style="23" min="5380" max="5380"/>
    <col hidden="1" width="11.54296875" customWidth="1" style="23" min="5381" max="5381"/>
    <col width="2.90625" customWidth="1" style="23" min="5382" max="5397"/>
    <col width="9" customWidth="1" style="23" min="5398" max="5632"/>
    <col width="8.08984375" customWidth="1" style="23" min="5633" max="5633"/>
    <col width="13.36328125" customWidth="1" style="23" min="5634" max="5634"/>
    <col width="10.81640625" customWidth="1" style="23" min="5635" max="5635"/>
    <col width="11.36328125" customWidth="1" style="23" min="5636" max="5636"/>
    <col hidden="1" width="11.54296875" customWidth="1" style="23" min="5637" max="5637"/>
    <col width="2.90625" customWidth="1" style="23" min="5638" max="5653"/>
    <col width="9" customWidth="1" style="23" min="5654" max="5888"/>
    <col width="8.08984375" customWidth="1" style="23" min="5889" max="5889"/>
    <col width="13.36328125" customWidth="1" style="23" min="5890" max="5890"/>
    <col width="10.81640625" customWidth="1" style="23" min="5891" max="5891"/>
    <col width="11.36328125" customWidth="1" style="23" min="5892" max="5892"/>
    <col hidden="1" width="11.54296875" customWidth="1" style="23" min="5893" max="5893"/>
    <col width="2.90625" customWidth="1" style="23" min="5894" max="5909"/>
    <col width="9" customWidth="1" style="23" min="5910" max="6144"/>
    <col width="8.08984375" customWidth="1" style="23" min="6145" max="6145"/>
    <col width="13.36328125" customWidth="1" style="23" min="6146" max="6146"/>
    <col width="10.81640625" customWidth="1" style="23" min="6147" max="6147"/>
    <col width="11.36328125" customWidth="1" style="23" min="6148" max="6148"/>
    <col hidden="1" width="11.54296875" customWidth="1" style="23" min="6149" max="6149"/>
    <col width="2.90625" customWidth="1" style="23" min="6150" max="6165"/>
    <col width="9" customWidth="1" style="23" min="6166" max="6400"/>
    <col width="8.08984375" customWidth="1" style="23" min="6401" max="6401"/>
    <col width="13.36328125" customWidth="1" style="23" min="6402" max="6402"/>
    <col width="10.81640625" customWidth="1" style="23" min="6403" max="6403"/>
    <col width="11.36328125" customWidth="1" style="23" min="6404" max="6404"/>
    <col hidden="1" width="11.54296875" customWidth="1" style="23" min="6405" max="6405"/>
    <col width="2.90625" customWidth="1" style="23" min="6406" max="6421"/>
    <col width="9" customWidth="1" style="23" min="6422" max="6656"/>
    <col width="8.08984375" customWidth="1" style="23" min="6657" max="6657"/>
    <col width="13.36328125" customWidth="1" style="23" min="6658" max="6658"/>
    <col width="10.81640625" customWidth="1" style="23" min="6659" max="6659"/>
    <col width="11.36328125" customWidth="1" style="23" min="6660" max="6660"/>
    <col hidden="1" width="11.54296875" customWidth="1" style="23" min="6661" max="6661"/>
    <col width="2.90625" customWidth="1" style="23" min="6662" max="6677"/>
    <col width="9" customWidth="1" style="23" min="6678" max="6912"/>
    <col width="8.08984375" customWidth="1" style="23" min="6913" max="6913"/>
    <col width="13.36328125" customWidth="1" style="23" min="6914" max="6914"/>
    <col width="10.81640625" customWidth="1" style="23" min="6915" max="6915"/>
    <col width="11.36328125" customWidth="1" style="23" min="6916" max="6916"/>
    <col hidden="1" width="11.54296875" customWidth="1" style="23" min="6917" max="6917"/>
    <col width="2.90625" customWidth="1" style="23" min="6918" max="6933"/>
    <col width="9" customWidth="1" style="23" min="6934" max="7168"/>
    <col width="8.08984375" customWidth="1" style="23" min="7169" max="7169"/>
    <col width="13.36328125" customWidth="1" style="23" min="7170" max="7170"/>
    <col width="10.81640625" customWidth="1" style="23" min="7171" max="7171"/>
    <col width="11.36328125" customWidth="1" style="23" min="7172" max="7172"/>
    <col hidden="1" width="11.54296875" customWidth="1" style="23" min="7173" max="7173"/>
    <col width="2.90625" customWidth="1" style="23" min="7174" max="7189"/>
    <col width="9" customWidth="1" style="23" min="7190" max="7424"/>
    <col width="8.08984375" customWidth="1" style="23" min="7425" max="7425"/>
    <col width="13.36328125" customWidth="1" style="23" min="7426" max="7426"/>
    <col width="10.81640625" customWidth="1" style="23" min="7427" max="7427"/>
    <col width="11.36328125" customWidth="1" style="23" min="7428" max="7428"/>
    <col hidden="1" width="11.54296875" customWidth="1" style="23" min="7429" max="7429"/>
    <col width="2.90625" customWidth="1" style="23" min="7430" max="7445"/>
    <col width="9" customWidth="1" style="23" min="7446" max="7680"/>
    <col width="8.08984375" customWidth="1" style="23" min="7681" max="7681"/>
    <col width="13.36328125" customWidth="1" style="23" min="7682" max="7682"/>
    <col width="10.81640625" customWidth="1" style="23" min="7683" max="7683"/>
    <col width="11.36328125" customWidth="1" style="23" min="7684" max="7684"/>
    <col hidden="1" width="11.54296875" customWidth="1" style="23" min="7685" max="7685"/>
    <col width="2.90625" customWidth="1" style="23" min="7686" max="7701"/>
    <col width="9" customWidth="1" style="23" min="7702" max="7936"/>
    <col width="8.08984375" customWidth="1" style="23" min="7937" max="7937"/>
    <col width="13.36328125" customWidth="1" style="23" min="7938" max="7938"/>
    <col width="10.81640625" customWidth="1" style="23" min="7939" max="7939"/>
    <col width="11.36328125" customWidth="1" style="23" min="7940" max="7940"/>
    <col hidden="1" width="11.54296875" customWidth="1" style="23" min="7941" max="7941"/>
    <col width="2.90625" customWidth="1" style="23" min="7942" max="7957"/>
    <col width="9" customWidth="1" style="23" min="7958" max="8192"/>
    <col width="8.08984375" customWidth="1" style="23" min="8193" max="8193"/>
    <col width="13.36328125" customWidth="1" style="23" min="8194" max="8194"/>
    <col width="10.81640625" customWidth="1" style="23" min="8195" max="8195"/>
    <col width="11.36328125" customWidth="1" style="23" min="8196" max="8196"/>
    <col hidden="1" width="11.54296875" customWidth="1" style="23" min="8197" max="8197"/>
    <col width="2.90625" customWidth="1" style="23" min="8198" max="8213"/>
    <col width="9" customWidth="1" style="23" min="8214" max="8448"/>
    <col width="8.08984375" customWidth="1" style="23" min="8449" max="8449"/>
    <col width="13.36328125" customWidth="1" style="23" min="8450" max="8450"/>
    <col width="10.81640625" customWidth="1" style="23" min="8451" max="8451"/>
    <col width="11.36328125" customWidth="1" style="23" min="8452" max="8452"/>
    <col hidden="1" width="11.54296875" customWidth="1" style="23" min="8453" max="8453"/>
    <col width="2.90625" customWidth="1" style="23" min="8454" max="8469"/>
    <col width="9" customWidth="1" style="23" min="8470" max="8704"/>
    <col width="8.08984375" customWidth="1" style="23" min="8705" max="8705"/>
    <col width="13.36328125" customWidth="1" style="23" min="8706" max="8706"/>
    <col width="10.81640625" customWidth="1" style="23" min="8707" max="8707"/>
    <col width="11.36328125" customWidth="1" style="23" min="8708" max="8708"/>
    <col hidden="1" width="11.54296875" customWidth="1" style="23" min="8709" max="8709"/>
    <col width="2.90625" customWidth="1" style="23" min="8710" max="8725"/>
    <col width="9" customWidth="1" style="23" min="8726" max="8960"/>
    <col width="8.08984375" customWidth="1" style="23" min="8961" max="8961"/>
    <col width="13.36328125" customWidth="1" style="23" min="8962" max="8962"/>
    <col width="10.81640625" customWidth="1" style="23" min="8963" max="8963"/>
    <col width="11.36328125" customWidth="1" style="23" min="8964" max="8964"/>
    <col hidden="1" width="11.54296875" customWidth="1" style="23" min="8965" max="8965"/>
    <col width="2.90625" customWidth="1" style="23" min="8966" max="8981"/>
    <col width="9" customWidth="1" style="23" min="8982" max="9216"/>
    <col width="8.08984375" customWidth="1" style="23" min="9217" max="9217"/>
    <col width="13.36328125" customWidth="1" style="23" min="9218" max="9218"/>
    <col width="10.81640625" customWidth="1" style="23" min="9219" max="9219"/>
    <col width="11.36328125" customWidth="1" style="23" min="9220" max="9220"/>
    <col hidden="1" width="11.54296875" customWidth="1" style="23" min="9221" max="9221"/>
    <col width="2.90625" customWidth="1" style="23" min="9222" max="9237"/>
    <col width="9" customWidth="1" style="23" min="9238" max="9472"/>
    <col width="8.08984375" customWidth="1" style="23" min="9473" max="9473"/>
    <col width="13.36328125" customWidth="1" style="23" min="9474" max="9474"/>
    <col width="10.81640625" customWidth="1" style="23" min="9475" max="9475"/>
    <col width="11.36328125" customWidth="1" style="23" min="9476" max="9476"/>
    <col hidden="1" width="11.54296875" customWidth="1" style="23" min="9477" max="9477"/>
    <col width="2.90625" customWidth="1" style="23" min="9478" max="9493"/>
    <col width="9" customWidth="1" style="23" min="9494" max="9728"/>
    <col width="8.08984375" customWidth="1" style="23" min="9729" max="9729"/>
    <col width="13.36328125" customWidth="1" style="23" min="9730" max="9730"/>
    <col width="10.81640625" customWidth="1" style="23" min="9731" max="9731"/>
    <col width="11.36328125" customWidth="1" style="23" min="9732" max="9732"/>
    <col hidden="1" width="11.54296875" customWidth="1" style="23" min="9733" max="9733"/>
    <col width="2.90625" customWidth="1" style="23" min="9734" max="9749"/>
    <col width="9" customWidth="1" style="23" min="9750" max="9984"/>
    <col width="8.08984375" customWidth="1" style="23" min="9985" max="9985"/>
    <col width="13.36328125" customWidth="1" style="23" min="9986" max="9986"/>
    <col width="10.81640625" customWidth="1" style="23" min="9987" max="9987"/>
    <col width="11.36328125" customWidth="1" style="23" min="9988" max="9988"/>
    <col hidden="1" width="11.54296875" customWidth="1" style="23" min="9989" max="9989"/>
    <col width="2.90625" customWidth="1" style="23" min="9990" max="10005"/>
    <col width="9" customWidth="1" style="23" min="10006" max="10240"/>
    <col width="8.08984375" customWidth="1" style="23" min="10241" max="10241"/>
    <col width="13.36328125" customWidth="1" style="23" min="10242" max="10242"/>
    <col width="10.81640625" customWidth="1" style="23" min="10243" max="10243"/>
    <col width="11.36328125" customWidth="1" style="23" min="10244" max="10244"/>
    <col hidden="1" width="11.54296875" customWidth="1" style="23" min="10245" max="10245"/>
    <col width="2.90625" customWidth="1" style="23" min="10246" max="10261"/>
    <col width="9" customWidth="1" style="23" min="10262" max="10496"/>
    <col width="8.08984375" customWidth="1" style="23" min="10497" max="10497"/>
    <col width="13.36328125" customWidth="1" style="23" min="10498" max="10498"/>
    <col width="10.81640625" customWidth="1" style="23" min="10499" max="10499"/>
    <col width="11.36328125" customWidth="1" style="23" min="10500" max="10500"/>
    <col hidden="1" width="11.54296875" customWidth="1" style="23" min="10501" max="10501"/>
    <col width="2.90625" customWidth="1" style="23" min="10502" max="10517"/>
    <col width="9" customWidth="1" style="23" min="10518" max="10752"/>
    <col width="8.08984375" customWidth="1" style="23" min="10753" max="10753"/>
    <col width="13.36328125" customWidth="1" style="23" min="10754" max="10754"/>
    <col width="10.81640625" customWidth="1" style="23" min="10755" max="10755"/>
    <col width="11.36328125" customWidth="1" style="23" min="10756" max="10756"/>
    <col hidden="1" width="11.54296875" customWidth="1" style="23" min="10757" max="10757"/>
    <col width="2.90625" customWidth="1" style="23" min="10758" max="10773"/>
    <col width="9" customWidth="1" style="23" min="10774" max="11008"/>
    <col width="8.08984375" customWidth="1" style="23" min="11009" max="11009"/>
    <col width="13.36328125" customWidth="1" style="23" min="11010" max="11010"/>
    <col width="10.81640625" customWidth="1" style="23" min="11011" max="11011"/>
    <col width="11.36328125" customWidth="1" style="23" min="11012" max="11012"/>
    <col hidden="1" width="11.54296875" customWidth="1" style="23" min="11013" max="11013"/>
    <col width="2.90625" customWidth="1" style="23" min="11014" max="11029"/>
    <col width="9" customWidth="1" style="23" min="11030" max="11264"/>
    <col width="8.08984375" customWidth="1" style="23" min="11265" max="11265"/>
    <col width="13.36328125" customWidth="1" style="23" min="11266" max="11266"/>
    <col width="10.81640625" customWidth="1" style="23" min="11267" max="11267"/>
    <col width="11.36328125" customWidth="1" style="23" min="11268" max="11268"/>
    <col hidden="1" width="11.54296875" customWidth="1" style="23" min="11269" max="11269"/>
    <col width="2.90625" customWidth="1" style="23" min="11270" max="11285"/>
    <col width="9" customWidth="1" style="23" min="11286" max="11520"/>
    <col width="8.08984375" customWidth="1" style="23" min="11521" max="11521"/>
    <col width="13.36328125" customWidth="1" style="23" min="11522" max="11522"/>
    <col width="10.81640625" customWidth="1" style="23" min="11523" max="11523"/>
    <col width="11.36328125" customWidth="1" style="23" min="11524" max="11524"/>
    <col hidden="1" width="11.54296875" customWidth="1" style="23" min="11525" max="11525"/>
    <col width="2.90625" customWidth="1" style="23" min="11526" max="11541"/>
    <col width="9" customWidth="1" style="23" min="11542" max="11776"/>
    <col width="8.08984375" customWidth="1" style="23" min="11777" max="11777"/>
    <col width="13.36328125" customWidth="1" style="23" min="11778" max="11778"/>
    <col width="10.81640625" customWidth="1" style="23" min="11779" max="11779"/>
    <col width="11.36328125" customWidth="1" style="23" min="11780" max="11780"/>
    <col hidden="1" width="11.54296875" customWidth="1" style="23" min="11781" max="11781"/>
    <col width="2.90625" customWidth="1" style="23" min="11782" max="11797"/>
    <col width="9" customWidth="1" style="23" min="11798" max="12032"/>
    <col width="8.08984375" customWidth="1" style="23" min="12033" max="12033"/>
    <col width="13.36328125" customWidth="1" style="23" min="12034" max="12034"/>
    <col width="10.81640625" customWidth="1" style="23" min="12035" max="12035"/>
    <col width="11.36328125" customWidth="1" style="23" min="12036" max="12036"/>
    <col hidden="1" width="11.54296875" customWidth="1" style="23" min="12037" max="12037"/>
    <col width="2.90625" customWidth="1" style="23" min="12038" max="12053"/>
    <col width="9" customWidth="1" style="23" min="12054" max="12288"/>
    <col width="8.08984375" customWidth="1" style="23" min="12289" max="12289"/>
    <col width="13.36328125" customWidth="1" style="23" min="12290" max="12290"/>
    <col width="10.81640625" customWidth="1" style="23" min="12291" max="12291"/>
    <col width="11.36328125" customWidth="1" style="23" min="12292" max="12292"/>
    <col hidden="1" width="11.54296875" customWidth="1" style="23" min="12293" max="12293"/>
    <col width="2.90625" customWidth="1" style="23" min="12294" max="12309"/>
    <col width="9" customWidth="1" style="23" min="12310" max="12544"/>
    <col width="8.08984375" customWidth="1" style="23" min="12545" max="12545"/>
    <col width="13.36328125" customWidth="1" style="23" min="12546" max="12546"/>
    <col width="10.81640625" customWidth="1" style="23" min="12547" max="12547"/>
    <col width="11.36328125" customWidth="1" style="23" min="12548" max="12548"/>
    <col hidden="1" width="11.54296875" customWidth="1" style="23" min="12549" max="12549"/>
    <col width="2.90625" customWidth="1" style="23" min="12550" max="12565"/>
    <col width="9" customWidth="1" style="23" min="12566" max="12800"/>
    <col width="8.08984375" customWidth="1" style="23" min="12801" max="12801"/>
    <col width="13.36328125" customWidth="1" style="23" min="12802" max="12802"/>
    <col width="10.81640625" customWidth="1" style="23" min="12803" max="12803"/>
    <col width="11.36328125" customWidth="1" style="23" min="12804" max="12804"/>
    <col hidden="1" width="11.54296875" customWidth="1" style="23" min="12805" max="12805"/>
    <col width="2.90625" customWidth="1" style="23" min="12806" max="12821"/>
    <col width="9" customWidth="1" style="23" min="12822" max="13056"/>
    <col width="8.08984375" customWidth="1" style="23" min="13057" max="13057"/>
    <col width="13.36328125" customWidth="1" style="23" min="13058" max="13058"/>
    <col width="10.81640625" customWidth="1" style="23" min="13059" max="13059"/>
    <col width="11.36328125" customWidth="1" style="23" min="13060" max="13060"/>
    <col hidden="1" width="11.54296875" customWidth="1" style="23" min="13061" max="13061"/>
    <col width="2.90625" customWidth="1" style="23" min="13062" max="13077"/>
    <col width="9" customWidth="1" style="23" min="13078" max="13312"/>
    <col width="8.08984375" customWidth="1" style="23" min="13313" max="13313"/>
    <col width="13.36328125" customWidth="1" style="23" min="13314" max="13314"/>
    <col width="10.81640625" customWidth="1" style="23" min="13315" max="13315"/>
    <col width="11.36328125" customWidth="1" style="23" min="13316" max="13316"/>
    <col hidden="1" width="11.54296875" customWidth="1" style="23" min="13317" max="13317"/>
    <col width="2.90625" customWidth="1" style="23" min="13318" max="13333"/>
    <col width="9" customWidth="1" style="23" min="13334" max="13568"/>
    <col width="8.08984375" customWidth="1" style="23" min="13569" max="13569"/>
    <col width="13.36328125" customWidth="1" style="23" min="13570" max="13570"/>
    <col width="10.81640625" customWidth="1" style="23" min="13571" max="13571"/>
    <col width="11.36328125" customWidth="1" style="23" min="13572" max="13572"/>
    <col hidden="1" width="11.54296875" customWidth="1" style="23" min="13573" max="13573"/>
    <col width="2.90625" customWidth="1" style="23" min="13574" max="13589"/>
    <col width="9" customWidth="1" style="23" min="13590" max="13824"/>
    <col width="8.08984375" customWidth="1" style="23" min="13825" max="13825"/>
    <col width="13.36328125" customWidth="1" style="23" min="13826" max="13826"/>
    <col width="10.81640625" customWidth="1" style="23" min="13827" max="13827"/>
    <col width="11.36328125" customWidth="1" style="23" min="13828" max="13828"/>
    <col hidden="1" width="11.54296875" customWidth="1" style="23" min="13829" max="13829"/>
    <col width="2.90625" customWidth="1" style="23" min="13830" max="13845"/>
    <col width="9" customWidth="1" style="23" min="13846" max="14080"/>
    <col width="8.08984375" customWidth="1" style="23" min="14081" max="14081"/>
    <col width="13.36328125" customWidth="1" style="23" min="14082" max="14082"/>
    <col width="10.81640625" customWidth="1" style="23" min="14083" max="14083"/>
    <col width="11.36328125" customWidth="1" style="23" min="14084" max="14084"/>
    <col hidden="1" width="11.54296875" customWidth="1" style="23" min="14085" max="14085"/>
    <col width="2.90625" customWidth="1" style="23" min="14086" max="14101"/>
    <col width="9" customWidth="1" style="23" min="14102" max="14336"/>
    <col width="8.08984375" customWidth="1" style="23" min="14337" max="14337"/>
    <col width="13.36328125" customWidth="1" style="23" min="14338" max="14338"/>
    <col width="10.81640625" customWidth="1" style="23" min="14339" max="14339"/>
    <col width="11.36328125" customWidth="1" style="23" min="14340" max="14340"/>
    <col hidden="1" width="11.54296875" customWidth="1" style="23" min="14341" max="14341"/>
    <col width="2.90625" customWidth="1" style="23" min="14342" max="14357"/>
    <col width="9" customWidth="1" style="23" min="14358" max="14592"/>
    <col width="8.08984375" customWidth="1" style="23" min="14593" max="14593"/>
    <col width="13.36328125" customWidth="1" style="23" min="14594" max="14594"/>
    <col width="10.81640625" customWidth="1" style="23" min="14595" max="14595"/>
    <col width="11.36328125" customWidth="1" style="23" min="14596" max="14596"/>
    <col hidden="1" width="11.54296875" customWidth="1" style="23" min="14597" max="14597"/>
    <col width="2.90625" customWidth="1" style="23" min="14598" max="14613"/>
    <col width="9" customWidth="1" style="23" min="14614" max="14848"/>
    <col width="8.08984375" customWidth="1" style="23" min="14849" max="14849"/>
    <col width="13.36328125" customWidth="1" style="23" min="14850" max="14850"/>
    <col width="10.81640625" customWidth="1" style="23" min="14851" max="14851"/>
    <col width="11.36328125" customWidth="1" style="23" min="14852" max="14852"/>
    <col hidden="1" width="11.54296875" customWidth="1" style="23" min="14853" max="14853"/>
    <col width="2.90625" customWidth="1" style="23" min="14854" max="14869"/>
    <col width="9" customWidth="1" style="23" min="14870" max="15104"/>
    <col width="8.08984375" customWidth="1" style="23" min="15105" max="15105"/>
    <col width="13.36328125" customWidth="1" style="23" min="15106" max="15106"/>
    <col width="10.81640625" customWidth="1" style="23" min="15107" max="15107"/>
    <col width="11.36328125" customWidth="1" style="23" min="15108" max="15108"/>
    <col hidden="1" width="11.54296875" customWidth="1" style="23" min="15109" max="15109"/>
    <col width="2.90625" customWidth="1" style="23" min="15110" max="15125"/>
    <col width="9" customWidth="1" style="23" min="15126" max="15360"/>
    <col width="8.08984375" customWidth="1" style="23" min="15361" max="15361"/>
    <col width="13.36328125" customWidth="1" style="23" min="15362" max="15362"/>
    <col width="10.81640625" customWidth="1" style="23" min="15363" max="15363"/>
    <col width="11.36328125" customWidth="1" style="23" min="15364" max="15364"/>
    <col hidden="1" width="11.54296875" customWidth="1" style="23" min="15365" max="15365"/>
    <col width="2.90625" customWidth="1" style="23" min="15366" max="15381"/>
    <col width="9" customWidth="1" style="23" min="15382" max="15616"/>
    <col width="8.08984375" customWidth="1" style="23" min="15617" max="15617"/>
    <col width="13.36328125" customWidth="1" style="23" min="15618" max="15618"/>
    <col width="10.81640625" customWidth="1" style="23" min="15619" max="15619"/>
    <col width="11.36328125" customWidth="1" style="23" min="15620" max="15620"/>
    <col hidden="1" width="11.54296875" customWidth="1" style="23" min="15621" max="15621"/>
    <col width="2.90625" customWidth="1" style="23" min="15622" max="15637"/>
    <col width="9" customWidth="1" style="23" min="15638" max="15872"/>
    <col width="8.08984375" customWidth="1" style="23" min="15873" max="15873"/>
    <col width="13.36328125" customWidth="1" style="23" min="15874" max="15874"/>
    <col width="10.81640625" customWidth="1" style="23" min="15875" max="15875"/>
    <col width="11.36328125" customWidth="1" style="23" min="15876" max="15876"/>
    <col hidden="1" width="11.54296875" customWidth="1" style="23" min="15877" max="15877"/>
    <col width="2.90625" customWidth="1" style="23" min="15878" max="15893"/>
    <col width="9" customWidth="1" style="23" min="15894" max="16128"/>
    <col width="8.08984375" customWidth="1" style="23" min="16129" max="16129"/>
    <col width="13.36328125" customWidth="1" style="23" min="16130" max="16130"/>
    <col width="10.81640625" customWidth="1" style="23" min="16131" max="16131"/>
    <col width="11.36328125" customWidth="1" style="23" min="16132" max="16132"/>
    <col hidden="1" width="11.54296875" customWidth="1" style="23" min="16133" max="16133"/>
    <col width="2.90625" customWidth="1" style="23" min="16134" max="16149"/>
    <col width="9" customWidth="1" style="23" min="16150" max="16384"/>
  </cols>
  <sheetData>
    <row r="1" ht="13.5" customHeight="1">
      <c r="A1" s="14" t="inlineStr">
        <is>
          <t>Function Code</t>
        </is>
      </c>
      <c r="B1" s="121" t="n"/>
      <c r="C1" s="13" t="inlineStr">
        <is>
          <t>calcBaggageFee</t>
        </is>
      </c>
      <c r="D1" s="121" t="n"/>
      <c r="E1" s="122" t="n"/>
      <c r="F1" s="12" t="inlineStr">
        <is>
          <t>Function Name</t>
        </is>
      </c>
      <c r="G1" s="123" t="n"/>
      <c r="H1" s="123" t="n"/>
      <c r="I1" s="123" t="n"/>
      <c r="J1" s="123" t="n"/>
      <c r="K1" s="123" t="n"/>
      <c r="L1" s="11" t="inlineStr">
        <is>
          <t>calcBaggageFee</t>
        </is>
      </c>
      <c r="M1" s="121" t="n"/>
      <c r="N1" s="121" t="n"/>
      <c r="O1" s="121" t="n"/>
      <c r="P1" s="121" t="n"/>
      <c r="Q1" s="121" t="n"/>
      <c r="R1" s="121" t="n"/>
      <c r="S1" s="121" t="n"/>
      <c r="T1" s="124" t="n"/>
    </row>
    <row r="2" ht="13.5" customHeight="1">
      <c r="A2" s="10" t="inlineStr">
        <is>
          <t>Lines  of code</t>
        </is>
      </c>
      <c r="B2" s="125" t="n"/>
      <c r="C2" s="9" t="n">
        <v>13</v>
      </c>
      <c r="D2" s="126" t="n"/>
      <c r="E2" s="27" t="n"/>
      <c r="F2" s="8" t="inlineStr">
        <is>
          <t>Lack of test cases</t>
        </is>
      </c>
      <c r="G2" s="126" t="n"/>
      <c r="H2" s="126" t="n"/>
      <c r="I2" s="126" t="n"/>
      <c r="J2" s="126" t="n"/>
      <c r="K2" s="125" t="n"/>
      <c r="L2" s="7" t="n">
        <v>-1</v>
      </c>
      <c r="M2" s="126" t="n"/>
      <c r="N2" s="126" t="n"/>
      <c r="O2" s="126" t="n"/>
      <c r="P2" s="126" t="n"/>
      <c r="Q2" s="126" t="n"/>
      <c r="R2" s="126" t="n"/>
      <c r="S2" s="126" t="n"/>
      <c r="T2" s="127" t="n"/>
    </row>
    <row r="3" ht="36" customHeight="1">
      <c r="A3" s="10" t="inlineStr">
        <is>
          <t>Test requirement</t>
        </is>
      </c>
      <c r="B3" s="125" t="n"/>
      <c r="C3" s="6" t="inlineStr">
        <is>
          <t>Compute checked-baggage fee: valid weight 1-40 kg; free allowance 30 kg (Business) / 20 kg (Economy), +5 kg for SkyMember; excess &lt;= 10 kg costs 12 USD/kg, beyond 10 kg costs 15 USD/kg. Minimum tests for 100% statement, 100% decision and MC/DC.</t>
        </is>
      </c>
      <c r="D3" s="126" t="n"/>
      <c r="E3" s="126" t="n"/>
      <c r="F3" s="126" t="n"/>
      <c r="G3" s="126" t="n"/>
      <c r="H3" s="126" t="n"/>
      <c r="I3" s="126" t="n"/>
      <c r="J3" s="126" t="n"/>
      <c r="K3" s="126" t="n"/>
      <c r="L3" s="126" t="n"/>
      <c r="M3" s="126" t="n"/>
      <c r="N3" s="126" t="n"/>
      <c r="O3" s="126" t="n"/>
      <c r="P3" s="126" t="n"/>
      <c r="Q3" s="126" t="n"/>
      <c r="R3" s="126" t="n"/>
      <c r="S3" s="126" t="n"/>
      <c r="T3" s="127" t="n"/>
    </row>
    <row r="4" ht="13.5" customHeight="1">
      <c r="A4" s="5" t="inlineStr">
        <is>
          <t>Passed</t>
        </is>
      </c>
      <c r="B4" s="125" t="n"/>
      <c r="C4" s="4" t="inlineStr">
        <is>
          <t>Failed</t>
        </is>
      </c>
      <c r="D4" s="126" t="n"/>
      <c r="E4" s="125" t="n"/>
      <c r="F4" s="4" t="inlineStr">
        <is>
          <t>Untested</t>
        </is>
      </c>
      <c r="G4" s="126" t="n"/>
      <c r="H4" s="126" t="n"/>
      <c r="I4" s="126" t="n"/>
      <c r="J4" s="126" t="n"/>
      <c r="K4" s="125" t="n"/>
      <c r="L4" s="3" t="inlineStr">
        <is>
          <t>N/A/B</t>
        </is>
      </c>
      <c r="M4" s="126" t="n"/>
      <c r="N4" s="126" t="n"/>
      <c r="O4" s="2" t="inlineStr">
        <is>
          <t>Total Test Cases</t>
        </is>
      </c>
      <c r="P4" s="126" t="n"/>
      <c r="Q4" s="126" t="n"/>
      <c r="R4" s="126" t="n"/>
      <c r="S4" s="126" t="n"/>
      <c r="T4" s="127" t="n"/>
    </row>
    <row r="5" ht="13.5" customHeight="1">
      <c r="A5" s="1">
        <f>COUNTIF(F37:HQ37,"P")</f>
        <v/>
      </c>
      <c r="B5" s="128" t="n"/>
      <c r="C5" s="112">
        <f>COUNTIF(F37:HQ37,"F")</f>
        <v/>
      </c>
      <c r="D5" s="129" t="n"/>
      <c r="E5" s="128" t="n"/>
      <c r="F5" s="112">
        <f>SUM(O5,- A5,- C5)</f>
        <v/>
      </c>
      <c r="G5" s="129" t="n"/>
      <c r="H5" s="129" t="n"/>
      <c r="I5" s="129" t="n"/>
      <c r="J5" s="129" t="n"/>
      <c r="K5" s="128" t="n"/>
      <c r="L5" s="28">
        <f>COUNTIF(E36:HQ36,"N")</f>
        <v/>
      </c>
      <c r="M5" s="28">
        <f>COUNTIF(E36:HQ36,"A")</f>
        <v/>
      </c>
      <c r="N5" s="28">
        <f>COUNTIF(E36:HQ36,"B")</f>
        <v/>
      </c>
      <c r="O5" s="113">
        <f>COUNTA(E7:HT7)</f>
        <v/>
      </c>
      <c r="P5" s="129" t="n"/>
      <c r="Q5" s="129" t="n"/>
      <c r="R5" s="129" t="n"/>
      <c r="S5" s="129" t="n"/>
      <c r="T5" s="130" t="n"/>
      <c r="U5" s="29" t="n"/>
    </row>
    <row r="6" ht="10.5" customHeight="1"/>
    <row r="7" ht="46.5" customHeight="1">
      <c r="A7" s="131" t="n"/>
      <c r="B7" s="132" t="n"/>
      <c r="C7" s="132" t="n"/>
      <c r="D7" s="132" t="n"/>
      <c r="E7" s="30" t="n"/>
      <c r="F7" s="31" t="inlineStr">
        <is>
          <t>UTCID01</t>
        </is>
      </c>
      <c r="G7" s="31" t="inlineStr">
        <is>
          <t>UTCID02</t>
        </is>
      </c>
      <c r="H7" s="31" t="inlineStr">
        <is>
          <t>UTCID03</t>
        </is>
      </c>
      <c r="I7" s="31" t="inlineStr">
        <is>
          <t>UTCID04</t>
        </is>
      </c>
      <c r="J7" s="31" t="inlineStr">
        <is>
          <t>UTCID05</t>
        </is>
      </c>
      <c r="K7" s="32" t="n"/>
      <c r="L7" s="32" t="n"/>
      <c r="M7" s="32" t="n"/>
      <c r="N7" s="32" t="n"/>
      <c r="O7" s="32" t="n"/>
      <c r="P7" s="32" t="n"/>
      <c r="Q7" s="32" t="n"/>
      <c r="R7" s="32" t="n"/>
      <c r="S7" s="32" t="n"/>
      <c r="T7" s="33" t="n"/>
      <c r="U7" s="34" t="n"/>
      <c r="V7" s="35" t="n"/>
    </row>
    <row r="8" ht="13.5" customHeight="1">
      <c r="A8" s="36" t="inlineStr">
        <is>
          <t>Condition</t>
        </is>
      </c>
      <c r="B8" s="37" t="inlineStr">
        <is>
          <t xml:space="preserve">Precondition </t>
        </is>
      </c>
      <c r="C8" s="38" t="n"/>
      <c r="D8" s="39" t="n"/>
      <c r="E8" s="40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2" t="n"/>
    </row>
    <row r="9" ht="13.5" customHeight="1">
      <c r="A9" s="43" t="n"/>
      <c r="B9" s="44" t="n"/>
      <c r="C9" s="45" t="n"/>
      <c r="D9" s="46" t="inlineStr">
        <is>
          <t>N/A</t>
        </is>
      </c>
      <c r="E9" s="47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9" t="n"/>
      <c r="V9" s="35" t="n"/>
    </row>
    <row r="10" ht="13.5" customHeight="1">
      <c r="A10" s="43" t="n"/>
      <c r="B10" s="44" t="n"/>
      <c r="C10" s="45" t="n"/>
      <c r="D10" s="50" t="n"/>
      <c r="E10" s="47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9" t="n"/>
    </row>
    <row r="11" ht="13.5" customHeight="1">
      <c r="A11" s="43" t="n"/>
      <c r="B11" s="51" t="inlineStr">
        <is>
          <t>Input condition</t>
        </is>
      </c>
      <c r="C11" s="45" t="n"/>
      <c r="D11" s="50" t="n"/>
      <c r="E11" s="52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9" t="n"/>
    </row>
    <row r="12" ht="13.5" customHeight="1">
      <c r="A12" s="43" t="n"/>
      <c r="B12" s="51" t="inlineStr">
        <is>
          <t>weightKg</t>
        </is>
      </c>
      <c r="C12" s="45" t="n"/>
      <c r="D12" s="50" t="n"/>
      <c r="E12" s="53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9" t="n"/>
    </row>
    <row r="13" ht="13.5" customHeight="1">
      <c r="A13" s="43" t="n"/>
      <c r="B13" s="44" t="n"/>
      <c r="C13" s="45" t="n"/>
      <c r="D13" s="54" t="n">
        <v>0</v>
      </c>
      <c r="E13" s="53" t="n"/>
      <c r="F13" s="55" t="inlineStr">
        <is>
          <t>O</t>
        </is>
      </c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9" t="n"/>
    </row>
    <row r="14" ht="13.5" customHeight="1">
      <c r="A14" s="43" t="n"/>
      <c r="B14" s="44" t="n"/>
      <c r="C14" s="45" t="n"/>
      <c r="D14" s="54" t="n">
        <v>30</v>
      </c>
      <c r="E14" s="53" t="n"/>
      <c r="F14" s="48" t="n"/>
      <c r="G14" s="48" t="n"/>
      <c r="H14" s="48" t="n"/>
      <c r="I14" s="55" t="inlineStr">
        <is>
          <t>O</t>
        </is>
      </c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9" t="n"/>
    </row>
    <row r="15" ht="13.5" customHeight="1">
      <c r="A15" s="43" t="n"/>
      <c r="B15" s="44" t="n"/>
      <c r="C15" s="45" t="n"/>
      <c r="D15" s="54" t="n">
        <v>35</v>
      </c>
      <c r="E15" s="53" t="n"/>
      <c r="F15" s="48" t="n"/>
      <c r="G15" s="48" t="n"/>
      <c r="H15" s="55" t="inlineStr">
        <is>
          <t>O</t>
        </is>
      </c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9" t="n"/>
    </row>
    <row r="16" ht="13.5" customHeight="1">
      <c r="A16" s="43" t="n"/>
      <c r="B16" s="44" t="n"/>
      <c r="C16" s="45" t="n"/>
      <c r="D16" s="54" t="n">
        <v>40</v>
      </c>
      <c r="E16" s="53" t="n"/>
      <c r="F16" s="48" t="n"/>
      <c r="G16" s="48" t="n"/>
      <c r="H16" s="48" t="n"/>
      <c r="I16" s="48" t="n"/>
      <c r="J16" s="55" t="inlineStr">
        <is>
          <t>O</t>
        </is>
      </c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9" t="n"/>
    </row>
    <row r="17" ht="13.5" customHeight="1">
      <c r="A17" s="43" t="n"/>
      <c r="B17" s="44" t="n"/>
      <c r="C17" s="45" t="n"/>
      <c r="D17" s="54" t="n">
        <v>41</v>
      </c>
      <c r="E17" s="53" t="n"/>
      <c r="F17" s="48" t="n"/>
      <c r="G17" s="55" t="inlineStr">
        <is>
          <t>O</t>
        </is>
      </c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9" t="n"/>
    </row>
    <row r="18" ht="13.5" customHeight="1">
      <c r="A18" s="43" t="n"/>
      <c r="B18" s="44" t="n"/>
      <c r="C18" s="45" t="n"/>
      <c r="D18" s="50" t="n"/>
      <c r="E18" s="53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9" t="n"/>
    </row>
    <row r="19" ht="13.5" customHeight="1">
      <c r="A19" s="43" t="n"/>
      <c r="B19" s="51" t="inlineStr">
        <is>
          <t>isBusiness</t>
        </is>
      </c>
      <c r="C19" s="45" t="n"/>
      <c r="D19" s="50" t="n"/>
      <c r="E19" s="53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9" t="n"/>
    </row>
    <row r="20" ht="13.5" customHeight="1">
      <c r="A20" s="43" t="n"/>
      <c r="B20" s="44" t="n"/>
      <c r="C20" s="45" t="n"/>
      <c r="D20" s="54" t="inlineStr">
        <is>
          <t>true</t>
        </is>
      </c>
      <c r="E20" s="53" t="n"/>
      <c r="F20" s="48" t="n"/>
      <c r="G20" s="48" t="n"/>
      <c r="H20" s="55" t="inlineStr">
        <is>
          <t>O</t>
        </is>
      </c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9" t="n"/>
    </row>
    <row r="21" ht="13.5" customHeight="1">
      <c r="A21" s="43" t="n"/>
      <c r="B21" s="44" t="n"/>
      <c r="C21" s="45" t="n"/>
      <c r="D21" s="54" t="inlineStr">
        <is>
          <t>false</t>
        </is>
      </c>
      <c r="E21" s="53" t="n"/>
      <c r="F21" s="55" t="inlineStr">
        <is>
          <t>O</t>
        </is>
      </c>
      <c r="G21" s="55" t="inlineStr">
        <is>
          <t>O</t>
        </is>
      </c>
      <c r="H21" s="48" t="n"/>
      <c r="I21" s="55" t="inlineStr">
        <is>
          <t>O</t>
        </is>
      </c>
      <c r="J21" s="55" t="inlineStr">
        <is>
          <t>O</t>
        </is>
      </c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9" t="n"/>
    </row>
    <row r="22" ht="13.5" customHeight="1">
      <c r="A22" s="43" t="n"/>
      <c r="B22" s="44" t="n"/>
      <c r="C22" s="45" t="n"/>
      <c r="D22" s="50" t="n"/>
      <c r="E22" s="53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9" t="n"/>
    </row>
    <row r="23" ht="13.5" customHeight="1">
      <c r="A23" s="43" t="n"/>
      <c r="B23" s="51" t="inlineStr">
        <is>
          <t>isSkyMember</t>
        </is>
      </c>
      <c r="C23" s="45" t="n"/>
      <c r="D23" s="50" t="n"/>
      <c r="E23" s="53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9" t="n"/>
    </row>
    <row r="24" ht="13.5" customHeight="1">
      <c r="A24" s="43" t="n"/>
      <c r="B24" s="44" t="n"/>
      <c r="C24" s="45" t="n"/>
      <c r="D24" s="54" t="inlineStr">
        <is>
          <t>true</t>
        </is>
      </c>
      <c r="E24" s="53" t="n"/>
      <c r="F24" s="48" t="n"/>
      <c r="G24" s="48" t="n"/>
      <c r="H24" s="55" t="inlineStr">
        <is>
          <t>O</t>
        </is>
      </c>
      <c r="I24" s="48" t="n"/>
      <c r="J24" s="55" t="inlineStr">
        <is>
          <t>O</t>
        </is>
      </c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9" t="n"/>
    </row>
    <row r="25" ht="13.5" customHeight="1">
      <c r="A25" s="43" t="n"/>
      <c r="B25" s="44" t="n"/>
      <c r="C25" s="45" t="n"/>
      <c r="D25" s="54" t="inlineStr">
        <is>
          <t>false</t>
        </is>
      </c>
      <c r="E25" s="53" t="n"/>
      <c r="F25" s="55" t="inlineStr">
        <is>
          <t>O</t>
        </is>
      </c>
      <c r="G25" s="55" t="inlineStr">
        <is>
          <t>O</t>
        </is>
      </c>
      <c r="H25" s="48" t="n"/>
      <c r="I25" s="55" t="inlineStr">
        <is>
          <t>O</t>
        </is>
      </c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9" t="n"/>
    </row>
    <row r="26" ht="13.5" customHeight="1">
      <c r="A26" s="56" t="inlineStr">
        <is>
          <t>Confirm</t>
        </is>
      </c>
      <c r="B26" s="57" t="inlineStr">
        <is>
          <t>Return</t>
        </is>
      </c>
      <c r="C26" s="58" t="n"/>
      <c r="D26" s="59" t="n"/>
      <c r="E26" s="60" t="n"/>
      <c r="F26" s="61" t="n"/>
      <c r="G26" s="61" t="n"/>
      <c r="H26" s="61" t="n"/>
      <c r="I26" s="61" t="n"/>
      <c r="J26" s="61" t="n"/>
      <c r="K26" s="61" t="n"/>
      <c r="L26" s="61" t="n"/>
      <c r="M26" s="61" t="n"/>
      <c r="N26" s="61" t="n"/>
      <c r="O26" s="61" t="n"/>
      <c r="P26" s="61" t="n"/>
      <c r="Q26" s="61" t="n"/>
      <c r="R26" s="61" t="n"/>
      <c r="S26" s="61" t="n"/>
      <c r="T26" s="62" t="n"/>
    </row>
    <row r="27" ht="13.5" customHeight="1">
      <c r="A27" s="63" t="n"/>
      <c r="B27" s="64" t="n"/>
      <c r="C27" s="65" t="n"/>
      <c r="D27" s="54" t="inlineStr">
        <is>
          <t>Invalid Weight</t>
        </is>
      </c>
      <c r="E27" s="66" t="n"/>
      <c r="F27" s="55" t="inlineStr">
        <is>
          <t>O</t>
        </is>
      </c>
      <c r="G27" s="55" t="inlineStr">
        <is>
          <t>O</t>
        </is>
      </c>
      <c r="H27" s="48" t="n"/>
      <c r="I27" s="48" t="n"/>
      <c r="J27" s="48" t="n"/>
      <c r="K27" s="48" t="n"/>
      <c r="L27" s="48" t="n"/>
      <c r="M27" s="48" t="n"/>
      <c r="N27" s="48" t="n"/>
      <c r="O27" s="48" t="n"/>
      <c r="P27" s="48" t="n"/>
      <c r="Q27" s="48" t="n"/>
      <c r="R27" s="48" t="n"/>
      <c r="S27" s="48" t="n"/>
      <c r="T27" s="49" t="n"/>
    </row>
    <row r="28" ht="13.5" customHeight="1">
      <c r="A28" s="63" t="n"/>
      <c r="B28" s="64" t="n"/>
      <c r="C28" s="65" t="n"/>
      <c r="D28" s="54" t="inlineStr">
        <is>
          <t>No Fee</t>
        </is>
      </c>
      <c r="E28" s="66" t="n"/>
      <c r="F28" s="48" t="n"/>
      <c r="G28" s="48" t="n"/>
      <c r="H28" s="55" t="inlineStr">
        <is>
          <t>O</t>
        </is>
      </c>
      <c r="I28" s="48" t="n"/>
      <c r="J28" s="48" t="n"/>
      <c r="K28" s="48" t="n"/>
      <c r="L28" s="48" t="n"/>
      <c r="M28" s="48" t="n"/>
      <c r="N28" s="48" t="n"/>
      <c r="O28" s="48" t="n"/>
      <c r="P28" s="48" t="n"/>
      <c r="Q28" s="48" t="n"/>
      <c r="R28" s="48" t="n"/>
      <c r="S28" s="48" t="n"/>
      <c r="T28" s="49" t="n"/>
    </row>
    <row r="29" ht="13.5" customHeight="1">
      <c r="A29" s="63" t="n"/>
      <c r="B29" s="64" t="n"/>
      <c r="C29" s="65" t="n"/>
      <c r="D29" s="54" t="inlineStr">
        <is>
          <t>Fee: 120 USD</t>
        </is>
      </c>
      <c r="E29" s="66" t="n"/>
      <c r="F29" s="48" t="n"/>
      <c r="G29" s="48" t="n"/>
      <c r="H29" s="48" t="n"/>
      <c r="I29" s="55" t="inlineStr">
        <is>
          <t>O</t>
        </is>
      </c>
      <c r="J29" s="48" t="n"/>
      <c r="K29" s="48" t="n"/>
      <c r="L29" s="48" t="n"/>
      <c r="M29" s="48" t="n"/>
      <c r="N29" s="48" t="n"/>
      <c r="O29" s="48" t="n"/>
      <c r="P29" s="48" t="n"/>
      <c r="Q29" s="48" t="n"/>
      <c r="R29" s="48" t="n"/>
      <c r="S29" s="48" t="n"/>
      <c r="T29" s="49" t="n"/>
    </row>
    <row r="30" ht="13.5" customHeight="1">
      <c r="A30" s="63" t="n"/>
      <c r="B30" s="64" t="n"/>
      <c r="C30" s="65" t="n"/>
      <c r="D30" s="54" t="inlineStr">
        <is>
          <t>Fee: 270 USD</t>
        </is>
      </c>
      <c r="E30" s="66" t="n"/>
      <c r="F30" s="48" t="n"/>
      <c r="G30" s="48" t="n"/>
      <c r="H30" s="48" t="n"/>
      <c r="I30" s="48" t="n"/>
      <c r="J30" s="55" t="inlineStr">
        <is>
          <t>O</t>
        </is>
      </c>
      <c r="K30" s="48" t="n"/>
      <c r="L30" s="48" t="n"/>
      <c r="M30" s="48" t="n"/>
      <c r="N30" s="48" t="n"/>
      <c r="O30" s="48" t="n"/>
      <c r="P30" s="48" t="n"/>
      <c r="Q30" s="48" t="n"/>
      <c r="R30" s="48" t="n"/>
      <c r="S30" s="48" t="n"/>
      <c r="T30" s="49" t="n"/>
    </row>
    <row r="31" ht="13.5" customHeight="1">
      <c r="A31" s="63" t="n"/>
      <c r="B31" s="64" t="inlineStr">
        <is>
          <t>Exception</t>
        </is>
      </c>
      <c r="C31" s="65" t="n"/>
      <c r="D31" s="67" t="n"/>
      <c r="E31" s="66" t="n"/>
      <c r="F31" s="48" t="n"/>
      <c r="G31" s="48" t="n"/>
      <c r="H31" s="48" t="n"/>
      <c r="I31" s="48" t="n"/>
      <c r="J31" s="48" t="n"/>
      <c r="K31" s="48" t="n"/>
      <c r="L31" s="48" t="n"/>
      <c r="M31" s="48" t="n"/>
      <c r="N31" s="48" t="n"/>
      <c r="O31" s="48" t="n"/>
      <c r="P31" s="48" t="n"/>
      <c r="Q31" s="48" t="n"/>
      <c r="R31" s="48" t="n"/>
      <c r="S31" s="48" t="n"/>
      <c r="T31" s="49" t="n"/>
    </row>
    <row r="32" ht="13.5" customHeight="1">
      <c r="A32" s="63" t="n"/>
      <c r="B32" s="64" t="n"/>
      <c r="C32" s="65" t="n"/>
      <c r="D32" s="67" t="n"/>
      <c r="E32" s="66" t="n"/>
      <c r="F32" s="48" t="n"/>
      <c r="G32" s="48" t="n"/>
      <c r="H32" s="48" t="n"/>
      <c r="I32" s="48" t="n"/>
      <c r="J32" s="48" t="n"/>
      <c r="K32" s="48" t="n"/>
      <c r="L32" s="48" t="n"/>
      <c r="M32" s="48" t="n"/>
      <c r="N32" s="48" t="n"/>
      <c r="O32" s="48" t="n"/>
      <c r="P32" s="48" t="n"/>
      <c r="Q32" s="48" t="n"/>
      <c r="R32" s="48" t="n"/>
      <c r="S32" s="48" t="n"/>
      <c r="T32" s="49" t="n"/>
    </row>
    <row r="33" ht="13.5" customHeight="1">
      <c r="A33" s="63" t="n"/>
      <c r="B33" s="64" t="inlineStr">
        <is>
          <t>Log message</t>
        </is>
      </c>
      <c r="C33" s="65" t="n"/>
      <c r="D33" s="67" t="n"/>
      <c r="E33" s="66" t="n"/>
      <c r="F33" s="48" t="n"/>
      <c r="G33" s="48" t="n"/>
      <c r="H33" s="48" t="n"/>
      <c r="I33" s="48" t="n"/>
      <c r="J33" s="48" t="n"/>
      <c r="K33" s="48" t="n"/>
      <c r="L33" s="48" t="n"/>
      <c r="M33" s="48" t="n"/>
      <c r="N33" s="48" t="n"/>
      <c r="O33" s="48" t="n"/>
      <c r="P33" s="48" t="n"/>
      <c r="Q33" s="48" t="n"/>
      <c r="R33" s="48" t="n"/>
      <c r="S33" s="48" t="n"/>
      <c r="T33" s="49" t="n"/>
    </row>
    <row r="34" ht="13.5" customHeight="1">
      <c r="A34" s="63" t="n"/>
      <c r="B34" s="64" t="n"/>
      <c r="C34" s="65" t="n"/>
      <c r="D34" s="68" t="n"/>
      <c r="E34" s="66" t="n"/>
      <c r="F34" s="48" t="n"/>
      <c r="G34" s="48" t="n"/>
      <c r="H34" s="48" t="n"/>
      <c r="I34" s="48" t="n"/>
      <c r="J34" s="48" t="n"/>
      <c r="K34" s="48" t="n"/>
      <c r="L34" s="48" t="n"/>
      <c r="M34" s="48" t="n"/>
      <c r="N34" s="48" t="n"/>
      <c r="O34" s="48" t="n"/>
      <c r="P34" s="48" t="n"/>
      <c r="Q34" s="48" t="n"/>
      <c r="R34" s="48" t="n"/>
      <c r="S34" s="48" t="n"/>
      <c r="T34" s="49" t="n"/>
    </row>
    <row r="35" ht="13.5" customHeight="1">
      <c r="A35" s="69" t="n"/>
      <c r="B35" s="70" t="n"/>
      <c r="C35" s="71" t="n"/>
      <c r="D35" s="72" t="n"/>
      <c r="E35" s="73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5" t="n"/>
    </row>
    <row r="36" ht="13.5" customHeight="1">
      <c r="A36" s="63" t="inlineStr">
        <is>
          <t>Result</t>
        </is>
      </c>
      <c r="B36" s="115" t="inlineStr">
        <is>
          <t>Type(N : Normal, A : Abnormal, B : Boundary)</t>
        </is>
      </c>
      <c r="C36" s="133" t="n"/>
      <c r="D36" s="134" t="n"/>
      <c r="E36" s="76" t="n"/>
      <c r="F36" s="77" t="inlineStr">
        <is>
          <t>A</t>
        </is>
      </c>
      <c r="G36" s="77" t="inlineStr">
        <is>
          <t>A</t>
        </is>
      </c>
      <c r="H36" s="77" t="inlineStr">
        <is>
          <t>B</t>
        </is>
      </c>
      <c r="I36" s="77" t="inlineStr">
        <is>
          <t>B</t>
        </is>
      </c>
      <c r="J36" s="77" t="inlineStr">
        <is>
          <t>B</t>
        </is>
      </c>
      <c r="K36" s="77" t="n"/>
      <c r="L36" s="77" t="n"/>
      <c r="M36" s="77" t="n"/>
      <c r="N36" s="77" t="n"/>
      <c r="O36" s="77" t="n"/>
      <c r="P36" s="77" t="n"/>
      <c r="Q36" s="77" t="n"/>
      <c r="R36" s="77" t="n"/>
      <c r="S36" s="77" t="n"/>
      <c r="T36" s="78" t="n"/>
    </row>
    <row r="37" ht="13.5" customHeight="1">
      <c r="A37" s="63" t="n"/>
      <c r="B37" s="116" t="inlineStr">
        <is>
          <t>Passed/Failed</t>
        </is>
      </c>
      <c r="C37" s="126" t="n"/>
      <c r="D37" s="125" t="n"/>
      <c r="E37" s="79" t="n"/>
      <c r="F37" s="80" t="inlineStr">
        <is>
          <t>P</t>
        </is>
      </c>
      <c r="G37" s="80" t="inlineStr">
        <is>
          <t>P</t>
        </is>
      </c>
      <c r="H37" s="80" t="inlineStr">
        <is>
          <t>P</t>
        </is>
      </c>
      <c r="I37" s="80" t="inlineStr">
        <is>
          <t>P</t>
        </is>
      </c>
      <c r="J37" s="80" t="inlineStr">
        <is>
          <t>P</t>
        </is>
      </c>
      <c r="K37" s="80" t="n"/>
      <c r="L37" s="80" t="n"/>
      <c r="M37" s="80" t="n"/>
      <c r="N37" s="80" t="n"/>
      <c r="O37" s="80" t="n"/>
      <c r="P37" s="80" t="n"/>
      <c r="Q37" s="80" t="n"/>
      <c r="R37" s="80" t="n"/>
      <c r="S37" s="80" t="n"/>
      <c r="T37" s="81" t="n"/>
    </row>
    <row r="38" ht="51.75" customHeight="1">
      <c r="A38" s="63" t="n"/>
      <c r="B38" s="117" t="inlineStr">
        <is>
          <t>Executed Date</t>
        </is>
      </c>
      <c r="C38" s="126" t="n"/>
      <c r="D38" s="125" t="n"/>
      <c r="E38" s="82" t="n"/>
      <c r="F38" s="135" t="n">
        <v>46300</v>
      </c>
      <c r="G38" s="135" t="n">
        <v>46300</v>
      </c>
      <c r="H38" s="135" t="n">
        <v>46300</v>
      </c>
      <c r="I38" s="135" t="n">
        <v>46300</v>
      </c>
      <c r="J38" s="135" t="n">
        <v>46300</v>
      </c>
      <c r="K38" s="136" t="n"/>
      <c r="L38" s="136" t="n"/>
      <c r="M38" s="136" t="n"/>
      <c r="N38" s="136" t="n"/>
      <c r="O38" s="136" t="n"/>
      <c r="P38" s="136" t="n"/>
      <c r="Q38" s="136" t="n"/>
      <c r="R38" s="136" t="n"/>
      <c r="S38" s="136" t="n"/>
      <c r="T38" s="137" t="n"/>
    </row>
    <row r="39" ht="10.5" customHeight="1">
      <c r="A39" s="69" t="n"/>
      <c r="B39" s="118" t="inlineStr">
        <is>
          <t>Defect ID</t>
        </is>
      </c>
      <c r="C39" s="129" t="n"/>
      <c r="D39" s="128" t="n"/>
      <c r="E39" s="86" t="n"/>
      <c r="F39" s="87" t="n"/>
      <c r="G39" s="87" t="n"/>
      <c r="H39" s="87" t="n"/>
      <c r="I39" s="87" t="n"/>
      <c r="J39" s="87" t="n"/>
      <c r="K39" s="87" t="n"/>
      <c r="L39" s="87" t="n"/>
      <c r="M39" s="87" t="n"/>
      <c r="N39" s="87" t="n"/>
      <c r="O39" s="87" t="n"/>
      <c r="P39" s="87" t="n"/>
      <c r="Q39" s="87" t="n"/>
      <c r="R39" s="87" t="n"/>
      <c r="S39" s="87" t="n"/>
      <c r="T39" s="88" t="n"/>
    </row>
    <row r="40"/>
    <row r="41"/>
    <row r="42"/>
    <row r="43" ht="13.5" customHeight="1">
      <c r="A43" s="14" t="inlineStr">
        <is>
          <t>Function Code</t>
        </is>
      </c>
      <c r="B43" s="121" t="n"/>
      <c r="C43" s="13" t="inlineStr">
        <is>
          <t>calcOrderFee</t>
        </is>
      </c>
      <c r="D43" s="121" t="n"/>
      <c r="E43" s="122" t="n"/>
      <c r="F43" s="12" t="inlineStr">
        <is>
          <t>Function Name</t>
        </is>
      </c>
      <c r="G43" s="123" t="n"/>
      <c r="H43" s="123" t="n"/>
      <c r="I43" s="123" t="n"/>
      <c r="J43" s="123" t="n"/>
      <c r="K43" s="123" t="n"/>
      <c r="L43" s="11" t="inlineStr">
        <is>
          <t>calcOrderFee</t>
        </is>
      </c>
      <c r="M43" s="121" t="n"/>
      <c r="N43" s="121" t="n"/>
      <c r="O43" s="121" t="n"/>
      <c r="P43" s="121" t="n"/>
      <c r="Q43" s="121" t="n"/>
      <c r="R43" s="121" t="n"/>
      <c r="S43" s="121" t="n"/>
      <c r="T43" s="124" t="n"/>
    </row>
    <row r="44" ht="13.5" customHeight="1">
      <c r="A44" s="10" t="inlineStr">
        <is>
          <t>Lines  of code</t>
        </is>
      </c>
      <c r="B44" s="125" t="n"/>
      <c r="C44" s="9" t="n">
        <v>15</v>
      </c>
      <c r="D44" s="126" t="n"/>
      <c r="E44" s="27" t="n"/>
      <c r="F44" s="8" t="inlineStr">
        <is>
          <t>Lack of test cases</t>
        </is>
      </c>
      <c r="G44" s="126" t="n"/>
      <c r="H44" s="126" t="n"/>
      <c r="I44" s="126" t="n"/>
      <c r="J44" s="126" t="n"/>
      <c r="K44" s="125" t="n"/>
      <c r="L44" s="7" t="n">
        <v>-1</v>
      </c>
      <c r="M44" s="126" t="n"/>
      <c r="N44" s="126" t="n"/>
      <c r="O44" s="126" t="n"/>
      <c r="P44" s="126" t="n"/>
      <c r="Q44" s="126" t="n"/>
      <c r="R44" s="126" t="n"/>
      <c r="S44" s="126" t="n"/>
      <c r="T44" s="127" t="n"/>
    </row>
    <row r="45" ht="49.5" customHeight="1">
      <c r="A45" s="10" t="inlineStr">
        <is>
          <t>Test requirement</t>
        </is>
      </c>
      <c r="B45" s="125" t="n"/>
      <c r="C45" s="6" t="inlineStr">
        <is>
          <t>Compute delivery fee: orderValue &gt; 0, weight 1-30 kg; base fee 40,000 VND (Express) / 20,000 VND (Standard), waived if (Gold or voucher) and order &gt;= 500,000 VND; weight surcharge always charged: first 5 kg free, 3,000 VND/kg for next 10 kg, 5,000 VND/kg beyond. Minimum tests for 100% statement, 100% decision and MC/DC.</t>
        </is>
      </c>
      <c r="D45" s="126" t="n"/>
      <c r="E45" s="126" t="n"/>
      <c r="F45" s="126" t="n"/>
      <c r="G45" s="126" t="n"/>
      <c r="H45" s="126" t="n"/>
      <c r="I45" s="126" t="n"/>
      <c r="J45" s="126" t="n"/>
      <c r="K45" s="126" t="n"/>
      <c r="L45" s="126" t="n"/>
      <c r="M45" s="126" t="n"/>
      <c r="N45" s="126" t="n"/>
      <c r="O45" s="126" t="n"/>
      <c r="P45" s="126" t="n"/>
      <c r="Q45" s="126" t="n"/>
      <c r="R45" s="126" t="n"/>
      <c r="S45" s="126" t="n"/>
      <c r="T45" s="127" t="n"/>
    </row>
    <row r="46" ht="13.5" customHeight="1">
      <c r="A46" s="5" t="inlineStr">
        <is>
          <t>Passed</t>
        </is>
      </c>
      <c r="B46" s="125" t="n"/>
      <c r="C46" s="4" t="inlineStr">
        <is>
          <t>Failed</t>
        </is>
      </c>
      <c r="D46" s="126" t="n"/>
      <c r="E46" s="125" t="n"/>
      <c r="F46" s="4" t="inlineStr">
        <is>
          <t>Untested</t>
        </is>
      </c>
      <c r="G46" s="126" t="n"/>
      <c r="H46" s="126" t="n"/>
      <c r="I46" s="126" t="n"/>
      <c r="J46" s="126" t="n"/>
      <c r="K46" s="125" t="n"/>
      <c r="L46" s="3" t="inlineStr">
        <is>
          <t>N/A/B</t>
        </is>
      </c>
      <c r="M46" s="126" t="n"/>
      <c r="N46" s="126" t="n"/>
      <c r="O46" s="2" t="inlineStr">
        <is>
          <t>Total Test Cases</t>
        </is>
      </c>
      <c r="P46" s="126" t="n"/>
      <c r="Q46" s="126" t="n"/>
      <c r="R46" s="126" t="n"/>
      <c r="S46" s="126" t="n"/>
      <c r="T46" s="127" t="n"/>
    </row>
    <row r="47" ht="13.5" customHeight="1">
      <c r="A47" s="1">
        <f>COUNTIF(F90:HQ90,"P")</f>
        <v/>
      </c>
      <c r="B47" s="128" t="n"/>
      <c r="C47" s="112">
        <f>COUNTIF(F90:HQ90,"F")</f>
        <v/>
      </c>
      <c r="D47" s="129" t="n"/>
      <c r="E47" s="128" t="n"/>
      <c r="F47" s="112">
        <f>SUM(O47,- A47,- C47)</f>
        <v/>
      </c>
      <c r="G47" s="129" t="n"/>
      <c r="H47" s="129" t="n"/>
      <c r="I47" s="129" t="n"/>
      <c r="J47" s="129" t="n"/>
      <c r="K47" s="128" t="n"/>
      <c r="L47" s="28">
        <f>COUNTIF(E89:HQ89,"N")</f>
        <v/>
      </c>
      <c r="M47" s="28">
        <f>COUNTIF(E89:HQ89,"A")</f>
        <v/>
      </c>
      <c r="N47" s="28">
        <f>COUNTIF(E89:HQ89,"B")</f>
        <v/>
      </c>
      <c r="O47" s="113">
        <f>COUNTA(E49:HT49)</f>
        <v/>
      </c>
      <c r="P47" s="129" t="n"/>
      <c r="Q47" s="129" t="n"/>
      <c r="R47" s="129" t="n"/>
      <c r="S47" s="129" t="n"/>
      <c r="T47" s="130" t="n"/>
      <c r="U47" s="29" t="n"/>
    </row>
    <row r="48" ht="10.5" customHeight="1"/>
    <row r="49" ht="46.5" customHeight="1">
      <c r="A49" s="131" t="n"/>
      <c r="B49" s="132" t="n"/>
      <c r="C49" s="132" t="n"/>
      <c r="D49" s="132" t="n"/>
      <c r="E49" s="30" t="n"/>
      <c r="F49" s="31" t="inlineStr">
        <is>
          <t>UTCID01</t>
        </is>
      </c>
      <c r="G49" s="31" t="inlineStr">
        <is>
          <t>UTCID02</t>
        </is>
      </c>
      <c r="H49" s="31" t="inlineStr">
        <is>
          <t>UTCID03</t>
        </is>
      </c>
      <c r="I49" s="31" t="inlineStr">
        <is>
          <t>UTCID04</t>
        </is>
      </c>
      <c r="J49" s="31" t="inlineStr">
        <is>
          <t>UTCID05</t>
        </is>
      </c>
      <c r="K49" s="31" t="inlineStr">
        <is>
          <t>UTCID06</t>
        </is>
      </c>
      <c r="L49" s="31" t="inlineStr">
        <is>
          <t>UTCID07</t>
        </is>
      </c>
      <c r="M49" s="32" t="n"/>
      <c r="N49" s="32" t="n"/>
      <c r="O49" s="32" t="n"/>
      <c r="P49" s="32" t="n"/>
      <c r="Q49" s="32" t="n"/>
      <c r="R49" s="32" t="n"/>
      <c r="S49" s="32" t="n"/>
      <c r="T49" s="33" t="n"/>
      <c r="U49" s="34" t="n"/>
      <c r="V49" s="35" t="n"/>
    </row>
    <row r="50" ht="13.5" customHeight="1">
      <c r="A50" s="36" t="inlineStr">
        <is>
          <t>Condition</t>
        </is>
      </c>
      <c r="B50" s="37" t="inlineStr">
        <is>
          <t xml:space="preserve">Precondition </t>
        </is>
      </c>
      <c r="C50" s="38" t="n"/>
      <c r="D50" s="39" t="n"/>
      <c r="E50" s="40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2" t="n"/>
    </row>
    <row r="51" ht="13.5" customHeight="1">
      <c r="A51" s="43" t="n"/>
      <c r="B51" s="44" t="n"/>
      <c r="C51" s="45" t="n"/>
      <c r="D51" s="46" t="inlineStr">
        <is>
          <t>N/A</t>
        </is>
      </c>
      <c r="E51" s="47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48" t="n"/>
      <c r="O51" s="48" t="n"/>
      <c r="P51" s="48" t="n"/>
      <c r="Q51" s="48" t="n"/>
      <c r="R51" s="48" t="n"/>
      <c r="S51" s="48" t="n"/>
      <c r="T51" s="49" t="n"/>
      <c r="V51" s="35" t="n"/>
    </row>
    <row r="52" ht="13.5" customHeight="1">
      <c r="A52" s="43" t="n"/>
      <c r="B52" s="44" t="n"/>
      <c r="C52" s="45" t="n"/>
      <c r="D52" s="50" t="n"/>
      <c r="E52" s="47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48" t="n"/>
      <c r="O52" s="48" t="n"/>
      <c r="P52" s="48" t="n"/>
      <c r="Q52" s="48" t="n"/>
      <c r="R52" s="48" t="n"/>
      <c r="S52" s="48" t="n"/>
      <c r="T52" s="49" t="n"/>
    </row>
    <row r="53" ht="13.5" customHeight="1">
      <c r="A53" s="43" t="n"/>
      <c r="B53" s="51" t="inlineStr">
        <is>
          <t>Input condition</t>
        </is>
      </c>
      <c r="C53" s="45" t="n"/>
      <c r="D53" s="50" t="n"/>
      <c r="E53" s="52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48" t="n"/>
      <c r="O53" s="48" t="n"/>
      <c r="P53" s="48" t="n"/>
      <c r="Q53" s="48" t="n"/>
      <c r="R53" s="48" t="n"/>
      <c r="S53" s="48" t="n"/>
      <c r="T53" s="49" t="n"/>
    </row>
    <row r="54" ht="13.5" customHeight="1">
      <c r="A54" s="43" t="n"/>
      <c r="B54" s="51" t="inlineStr">
        <is>
          <t>orderValue</t>
        </is>
      </c>
      <c r="C54" s="45" t="n"/>
      <c r="D54" s="50" t="n"/>
      <c r="E54" s="53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8" t="n"/>
      <c r="P54" s="48" t="n"/>
      <c r="Q54" s="48" t="n"/>
      <c r="R54" s="48" t="n"/>
      <c r="S54" s="48" t="n"/>
      <c r="T54" s="49" t="n"/>
    </row>
    <row r="55" ht="13.5" customHeight="1">
      <c r="A55" s="43" t="n"/>
      <c r="B55" s="44" t="n"/>
      <c r="C55" s="45" t="n"/>
      <c r="D55" s="54" t="n">
        <v>0</v>
      </c>
      <c r="E55" s="53" t="n"/>
      <c r="F55" s="55" t="inlineStr">
        <is>
          <t>O</t>
        </is>
      </c>
      <c r="G55" s="48" t="n"/>
      <c r="H55" s="48" t="n"/>
      <c r="I55" s="48" t="n"/>
      <c r="J55" s="48" t="n"/>
      <c r="K55" s="48" t="n"/>
      <c r="L55" s="48" t="n"/>
      <c r="M55" s="48" t="n"/>
      <c r="N55" s="48" t="n"/>
      <c r="O55" s="48" t="n"/>
      <c r="P55" s="48" t="n"/>
      <c r="Q55" s="48" t="n"/>
      <c r="R55" s="48" t="n"/>
      <c r="S55" s="48" t="n"/>
      <c r="T55" s="49" t="n"/>
    </row>
    <row r="56" ht="13.5" customHeight="1">
      <c r="A56" s="43" t="n"/>
      <c r="B56" s="44" t="n"/>
      <c r="C56" s="45" t="n"/>
      <c r="D56" s="54" t="n">
        <v>499999</v>
      </c>
      <c r="E56" s="53" t="n"/>
      <c r="F56" s="48" t="n"/>
      <c r="G56" s="48" t="n"/>
      <c r="H56" s="48" t="n"/>
      <c r="I56" s="48" t="n"/>
      <c r="J56" s="48" t="n"/>
      <c r="K56" s="48" t="n"/>
      <c r="L56" s="55" t="inlineStr">
        <is>
          <t>O</t>
        </is>
      </c>
      <c r="M56" s="48" t="n"/>
      <c r="N56" s="48" t="n"/>
      <c r="O56" s="48" t="n"/>
      <c r="P56" s="48" t="n"/>
      <c r="Q56" s="48" t="n"/>
      <c r="R56" s="48" t="n"/>
      <c r="S56" s="48" t="n"/>
      <c r="T56" s="49" t="n"/>
    </row>
    <row r="57" ht="13.5" customHeight="1">
      <c r="A57" s="43" t="n"/>
      <c r="B57" s="44" t="n"/>
      <c r="C57" s="45" t="n"/>
      <c r="D57" s="54" t="n">
        <v>500000</v>
      </c>
      <c r="E57" s="53" t="n"/>
      <c r="F57" s="48" t="n"/>
      <c r="G57" s="55" t="inlineStr">
        <is>
          <t>O</t>
        </is>
      </c>
      <c r="H57" s="55" t="inlineStr">
        <is>
          <t>O</t>
        </is>
      </c>
      <c r="I57" s="55" t="inlineStr">
        <is>
          <t>O</t>
        </is>
      </c>
      <c r="J57" s="55" t="inlineStr">
        <is>
          <t>O</t>
        </is>
      </c>
      <c r="K57" s="55" t="inlineStr">
        <is>
          <t>O</t>
        </is>
      </c>
      <c r="L57" s="48" t="n"/>
      <c r="M57" s="48" t="n"/>
      <c r="N57" s="48" t="n"/>
      <c r="O57" s="48" t="n"/>
      <c r="P57" s="48" t="n"/>
      <c r="Q57" s="48" t="n"/>
      <c r="R57" s="48" t="n"/>
      <c r="S57" s="48" t="n"/>
      <c r="T57" s="49" t="n"/>
    </row>
    <row r="58" ht="13.5" customHeight="1">
      <c r="A58" s="43" t="n"/>
      <c r="B58" s="44" t="n"/>
      <c r="C58" s="45" t="n"/>
      <c r="D58" s="50" t="n"/>
      <c r="E58" s="53" t="n"/>
      <c r="F58" s="48" t="n"/>
      <c r="G58" s="48" t="n"/>
      <c r="H58" s="48" t="n"/>
      <c r="I58" s="48" t="n"/>
      <c r="J58" s="48" t="n"/>
      <c r="K58" s="48" t="n"/>
      <c r="L58" s="48" t="n"/>
      <c r="M58" s="48" t="n"/>
      <c r="N58" s="48" t="n"/>
      <c r="O58" s="48" t="n"/>
      <c r="P58" s="48" t="n"/>
      <c r="Q58" s="48" t="n"/>
      <c r="R58" s="48" t="n"/>
      <c r="S58" s="48" t="n"/>
      <c r="T58" s="49" t="n"/>
    </row>
    <row r="59" ht="13.5" customHeight="1">
      <c r="A59" s="43" t="n"/>
      <c r="B59" s="51" t="inlineStr">
        <is>
          <t>weightKg</t>
        </is>
      </c>
      <c r="C59" s="45" t="n"/>
      <c r="D59" s="50" t="n"/>
      <c r="E59" s="53" t="n"/>
      <c r="F59" s="48" t="n"/>
      <c r="G59" s="48" t="n"/>
      <c r="H59" s="48" t="n"/>
      <c r="I59" s="48" t="n"/>
      <c r="J59" s="48" t="n"/>
      <c r="K59" s="48" t="n"/>
      <c r="L59" s="48" t="n"/>
      <c r="M59" s="48" t="n"/>
      <c r="N59" s="48" t="n"/>
      <c r="O59" s="48" t="n"/>
      <c r="P59" s="48" t="n"/>
      <c r="Q59" s="48" t="n"/>
      <c r="R59" s="48" t="n"/>
      <c r="S59" s="48" t="n"/>
      <c r="T59" s="49" t="n"/>
    </row>
    <row r="60" ht="13.5" customHeight="1">
      <c r="A60" s="43" t="n"/>
      <c r="B60" s="44" t="n"/>
      <c r="C60" s="45" t="n"/>
      <c r="D60" s="54" t="n">
        <v>0</v>
      </c>
      <c r="E60" s="53" t="n"/>
      <c r="F60" s="48" t="n"/>
      <c r="G60" s="55" t="inlineStr">
        <is>
          <t>O</t>
        </is>
      </c>
      <c r="H60" s="48" t="n"/>
      <c r="I60" s="48" t="n"/>
      <c r="J60" s="48" t="n"/>
      <c r="K60" s="48" t="n"/>
      <c r="L60" s="48" t="n"/>
      <c r="M60" s="48" t="n"/>
      <c r="N60" s="48" t="n"/>
      <c r="O60" s="48" t="n"/>
      <c r="P60" s="48" t="n"/>
      <c r="Q60" s="48" t="n"/>
      <c r="R60" s="48" t="n"/>
      <c r="S60" s="48" t="n"/>
      <c r="T60" s="49" t="n"/>
    </row>
    <row r="61" ht="13.5" customHeight="1">
      <c r="A61" s="43" t="n"/>
      <c r="B61" s="44" t="n"/>
      <c r="C61" s="45" t="n"/>
      <c r="D61" s="54" t="n">
        <v>5</v>
      </c>
      <c r="E61" s="53" t="n"/>
      <c r="F61" s="55" t="inlineStr">
        <is>
          <t>O</t>
        </is>
      </c>
      <c r="G61" s="48" t="n"/>
      <c r="H61" s="48" t="n"/>
      <c r="I61" s="55" t="inlineStr">
        <is>
          <t>O</t>
        </is>
      </c>
      <c r="J61" s="48" t="n"/>
      <c r="K61" s="48" t="n"/>
      <c r="L61" s="48" t="n"/>
      <c r="M61" s="48" t="n"/>
      <c r="N61" s="48" t="n"/>
      <c r="O61" s="48" t="n"/>
      <c r="P61" s="48" t="n"/>
      <c r="Q61" s="48" t="n"/>
      <c r="R61" s="48" t="n"/>
      <c r="S61" s="48" t="n"/>
      <c r="T61" s="49" t="n"/>
    </row>
    <row r="62" ht="13.5" customHeight="1">
      <c r="A62" s="43" t="n"/>
      <c r="B62" s="44" t="n"/>
      <c r="C62" s="45" t="n"/>
      <c r="D62" s="54" t="n">
        <v>15</v>
      </c>
      <c r="E62" s="53" t="n"/>
      <c r="F62" s="48" t="n"/>
      <c r="G62" s="48" t="n"/>
      <c r="H62" s="48" t="n"/>
      <c r="I62" s="48" t="n"/>
      <c r="J62" s="48" t="n"/>
      <c r="K62" s="55" t="inlineStr">
        <is>
          <t>O</t>
        </is>
      </c>
      <c r="L62" s="48" t="n"/>
      <c r="M62" s="48" t="n"/>
      <c r="N62" s="48" t="n"/>
      <c r="O62" s="48" t="n"/>
      <c r="P62" s="48" t="n"/>
      <c r="Q62" s="48" t="n"/>
      <c r="R62" s="48" t="n"/>
      <c r="S62" s="48" t="n"/>
      <c r="T62" s="49" t="n"/>
    </row>
    <row r="63" ht="13.5" customHeight="1">
      <c r="A63" s="43" t="n"/>
      <c r="B63" s="44" t="n"/>
      <c r="C63" s="45" t="n"/>
      <c r="D63" s="54" t="n">
        <v>16</v>
      </c>
      <c r="E63" s="53" t="n"/>
      <c r="F63" s="48" t="n"/>
      <c r="G63" s="48" t="n"/>
      <c r="H63" s="48" t="n"/>
      <c r="I63" s="48" t="n"/>
      <c r="J63" s="48" t="n"/>
      <c r="K63" s="48" t="n"/>
      <c r="L63" s="55" t="inlineStr">
        <is>
          <t>O</t>
        </is>
      </c>
      <c r="M63" s="48" t="n"/>
      <c r="N63" s="48" t="n"/>
      <c r="O63" s="48" t="n"/>
      <c r="P63" s="48" t="n"/>
      <c r="Q63" s="48" t="n"/>
      <c r="R63" s="48" t="n"/>
      <c r="S63" s="48" t="n"/>
      <c r="T63" s="49" t="n"/>
    </row>
    <row r="64" ht="13.5" customHeight="1">
      <c r="A64" s="43" t="n"/>
      <c r="B64" s="44" t="n"/>
      <c r="C64" s="45" t="n"/>
      <c r="D64" s="54" t="n">
        <v>30</v>
      </c>
      <c r="E64" s="53" t="n"/>
      <c r="F64" s="48" t="n"/>
      <c r="G64" s="48" t="n"/>
      <c r="H64" s="48" t="n"/>
      <c r="I64" s="48" t="n"/>
      <c r="J64" s="55" t="inlineStr">
        <is>
          <t>O</t>
        </is>
      </c>
      <c r="K64" s="48" t="n"/>
      <c r="L64" s="48" t="n"/>
      <c r="M64" s="48" t="n"/>
      <c r="N64" s="48" t="n"/>
      <c r="O64" s="48" t="n"/>
      <c r="P64" s="48" t="n"/>
      <c r="Q64" s="48" t="n"/>
      <c r="R64" s="48" t="n"/>
      <c r="S64" s="48" t="n"/>
      <c r="T64" s="49" t="n"/>
    </row>
    <row r="65" ht="13.5" customHeight="1">
      <c r="A65" s="43" t="n"/>
      <c r="B65" s="44" t="n"/>
      <c r="C65" s="45" t="n"/>
      <c r="D65" s="54" t="n">
        <v>31</v>
      </c>
      <c r="E65" s="53" t="n"/>
      <c r="F65" s="48" t="n"/>
      <c r="G65" s="48" t="n"/>
      <c r="H65" s="55" t="inlineStr">
        <is>
          <t>O</t>
        </is>
      </c>
      <c r="I65" s="48" t="n"/>
      <c r="J65" s="48" t="n"/>
      <c r="K65" s="48" t="n"/>
      <c r="L65" s="48" t="n"/>
      <c r="M65" s="48" t="n"/>
      <c r="N65" s="48" t="n"/>
      <c r="O65" s="48" t="n"/>
      <c r="P65" s="48" t="n"/>
      <c r="Q65" s="48" t="n"/>
      <c r="R65" s="48" t="n"/>
      <c r="S65" s="48" t="n"/>
      <c r="T65" s="49" t="n"/>
    </row>
    <row r="66" ht="13.5" customHeight="1">
      <c r="A66" s="43" t="n"/>
      <c r="B66" s="44" t="n"/>
      <c r="C66" s="45" t="n"/>
      <c r="D66" s="50" t="n"/>
      <c r="E66" s="53" t="n"/>
      <c r="F66" s="48" t="n"/>
      <c r="G66" s="48" t="n"/>
      <c r="H66" s="48" t="n"/>
      <c r="I66" s="48" t="n"/>
      <c r="J66" s="48" t="n"/>
      <c r="K66" s="48" t="n"/>
      <c r="L66" s="48" t="n"/>
      <c r="M66" s="48" t="n"/>
      <c r="N66" s="48" t="n"/>
      <c r="O66" s="48" t="n"/>
      <c r="P66" s="48" t="n"/>
      <c r="Q66" s="48" t="n"/>
      <c r="R66" s="48" t="n"/>
      <c r="S66" s="48" t="n"/>
      <c r="T66" s="49" t="n"/>
    </row>
    <row r="67" ht="13.5" customHeight="1">
      <c r="A67" s="43" t="n"/>
      <c r="B67" s="51" t="inlineStr">
        <is>
          <t>isGold</t>
        </is>
      </c>
      <c r="C67" s="45" t="n"/>
      <c r="D67" s="50" t="n"/>
      <c r="E67" s="53" t="n"/>
      <c r="F67" s="48" t="n"/>
      <c r="G67" s="48" t="n"/>
      <c r="H67" s="48" t="n"/>
      <c r="I67" s="48" t="n"/>
      <c r="J67" s="48" t="n"/>
      <c r="K67" s="48" t="n"/>
      <c r="L67" s="48" t="n"/>
      <c r="M67" s="48" t="n"/>
      <c r="N67" s="48" t="n"/>
      <c r="O67" s="48" t="n"/>
      <c r="P67" s="48" t="n"/>
      <c r="Q67" s="48" t="n"/>
      <c r="R67" s="48" t="n"/>
      <c r="S67" s="48" t="n"/>
      <c r="T67" s="49" t="n"/>
    </row>
    <row r="68" ht="13.5" customHeight="1">
      <c r="A68" s="43" t="n"/>
      <c r="B68" s="44" t="n"/>
      <c r="C68" s="45" t="n"/>
      <c r="D68" s="54" t="inlineStr">
        <is>
          <t>true</t>
        </is>
      </c>
      <c r="E68" s="53" t="n"/>
      <c r="F68" s="48" t="n"/>
      <c r="G68" s="48" t="n"/>
      <c r="H68" s="48" t="n"/>
      <c r="I68" s="55" t="inlineStr">
        <is>
          <t>O</t>
        </is>
      </c>
      <c r="J68" s="48" t="n"/>
      <c r="K68" s="48" t="n"/>
      <c r="L68" s="55" t="inlineStr">
        <is>
          <t>O</t>
        </is>
      </c>
      <c r="M68" s="48" t="n"/>
      <c r="N68" s="48" t="n"/>
      <c r="O68" s="48" t="n"/>
      <c r="P68" s="48" t="n"/>
      <c r="Q68" s="48" t="n"/>
      <c r="R68" s="48" t="n"/>
      <c r="S68" s="48" t="n"/>
      <c r="T68" s="49" t="n"/>
    </row>
    <row r="69" ht="13.5" customHeight="1">
      <c r="A69" s="43" t="n"/>
      <c r="B69" s="44" t="n"/>
      <c r="C69" s="45" t="n"/>
      <c r="D69" s="54" t="inlineStr">
        <is>
          <t>false</t>
        </is>
      </c>
      <c r="E69" s="53" t="n"/>
      <c r="F69" s="55" t="inlineStr">
        <is>
          <t>O</t>
        </is>
      </c>
      <c r="G69" s="55" t="inlineStr">
        <is>
          <t>O</t>
        </is>
      </c>
      <c r="H69" s="55" t="inlineStr">
        <is>
          <t>O</t>
        </is>
      </c>
      <c r="I69" s="48" t="n"/>
      <c r="J69" s="55" t="inlineStr">
        <is>
          <t>O</t>
        </is>
      </c>
      <c r="K69" s="55" t="inlineStr">
        <is>
          <t>O</t>
        </is>
      </c>
      <c r="L69" s="48" t="n"/>
      <c r="M69" s="48" t="n"/>
      <c r="N69" s="48" t="n"/>
      <c r="O69" s="48" t="n"/>
      <c r="P69" s="48" t="n"/>
      <c r="Q69" s="48" t="n"/>
      <c r="R69" s="48" t="n"/>
      <c r="S69" s="48" t="n"/>
      <c r="T69" s="49" t="n"/>
    </row>
    <row r="70" ht="13.5" customHeight="1">
      <c r="A70" s="43" t="n"/>
      <c r="B70" s="44" t="n"/>
      <c r="C70" s="45" t="n"/>
      <c r="D70" s="50" t="n"/>
      <c r="E70" s="53" t="n"/>
      <c r="F70" s="48" t="n"/>
      <c r="G70" s="48" t="n"/>
      <c r="H70" s="48" t="n"/>
      <c r="I70" s="48" t="n"/>
      <c r="J70" s="48" t="n"/>
      <c r="K70" s="48" t="n"/>
      <c r="L70" s="48" t="n"/>
      <c r="M70" s="48" t="n"/>
      <c r="N70" s="48" t="n"/>
      <c r="O70" s="48" t="n"/>
      <c r="P70" s="48" t="n"/>
      <c r="Q70" s="48" t="n"/>
      <c r="R70" s="48" t="n"/>
      <c r="S70" s="48" t="n"/>
      <c r="T70" s="49" t="n"/>
    </row>
    <row r="71" ht="13.5" customHeight="1">
      <c r="A71" s="43" t="n"/>
      <c r="B71" s="51" t="inlineStr">
        <is>
          <t>hasVoucher</t>
        </is>
      </c>
      <c r="C71" s="45" t="n"/>
      <c r="D71" s="50" t="n"/>
      <c r="E71" s="53" t="n"/>
      <c r="F71" s="48" t="n"/>
      <c r="G71" s="48" t="n"/>
      <c r="H71" s="48" t="n"/>
      <c r="I71" s="48" t="n"/>
      <c r="J71" s="48" t="n"/>
      <c r="K71" s="48" t="n"/>
      <c r="L71" s="48" t="n"/>
      <c r="M71" s="48" t="n"/>
      <c r="N71" s="48" t="n"/>
      <c r="O71" s="48" t="n"/>
      <c r="P71" s="48" t="n"/>
      <c r="Q71" s="48" t="n"/>
      <c r="R71" s="48" t="n"/>
      <c r="S71" s="48" t="n"/>
      <c r="T71" s="49" t="n"/>
    </row>
    <row r="72" ht="13.5" customHeight="1">
      <c r="A72" s="43" t="n"/>
      <c r="B72" s="44" t="n"/>
      <c r="C72" s="45" t="n"/>
      <c r="D72" s="54" t="inlineStr">
        <is>
          <t>true</t>
        </is>
      </c>
      <c r="E72" s="53" t="n"/>
      <c r="F72" s="48" t="n"/>
      <c r="G72" s="48" t="n"/>
      <c r="H72" s="48" t="n"/>
      <c r="I72" s="48" t="n"/>
      <c r="J72" s="55" t="inlineStr">
        <is>
          <t>O</t>
        </is>
      </c>
      <c r="K72" s="48" t="n"/>
      <c r="L72" s="48" t="n"/>
      <c r="M72" s="48" t="n"/>
      <c r="N72" s="48" t="n"/>
      <c r="O72" s="48" t="n"/>
      <c r="P72" s="48" t="n"/>
      <c r="Q72" s="48" t="n"/>
      <c r="R72" s="48" t="n"/>
      <c r="S72" s="48" t="n"/>
      <c r="T72" s="49" t="n"/>
    </row>
    <row r="73" ht="13.5" customHeight="1">
      <c r="A73" s="43" t="n"/>
      <c r="B73" s="44" t="n"/>
      <c r="C73" s="45" t="n"/>
      <c r="D73" s="54" t="inlineStr">
        <is>
          <t>false</t>
        </is>
      </c>
      <c r="E73" s="53" t="n"/>
      <c r="F73" s="55" t="inlineStr">
        <is>
          <t>O</t>
        </is>
      </c>
      <c r="G73" s="55" t="inlineStr">
        <is>
          <t>O</t>
        </is>
      </c>
      <c r="H73" s="55" t="inlineStr">
        <is>
          <t>O</t>
        </is>
      </c>
      <c r="I73" s="55" t="inlineStr">
        <is>
          <t>O</t>
        </is>
      </c>
      <c r="J73" s="48" t="n"/>
      <c r="K73" s="55" t="inlineStr">
        <is>
          <t>O</t>
        </is>
      </c>
      <c r="L73" s="55" t="inlineStr">
        <is>
          <t>O</t>
        </is>
      </c>
      <c r="M73" s="48" t="n"/>
      <c r="N73" s="48" t="n"/>
      <c r="O73" s="48" t="n"/>
      <c r="P73" s="48" t="n"/>
      <c r="Q73" s="48" t="n"/>
      <c r="R73" s="48" t="n"/>
      <c r="S73" s="48" t="n"/>
      <c r="T73" s="49" t="n"/>
    </row>
    <row r="74" ht="13.5" customHeight="1">
      <c r="A74" s="43" t="n"/>
      <c r="B74" s="44" t="n"/>
      <c r="C74" s="45" t="n"/>
      <c r="D74" s="50" t="n"/>
      <c r="E74" s="53" t="n"/>
      <c r="F74" s="48" t="n"/>
      <c r="G74" s="48" t="n"/>
      <c r="H74" s="48" t="n"/>
      <c r="I74" s="48" t="n"/>
      <c r="J74" s="48" t="n"/>
      <c r="K74" s="48" t="n"/>
      <c r="L74" s="48" t="n"/>
      <c r="M74" s="48" t="n"/>
      <c r="N74" s="48" t="n"/>
      <c r="O74" s="48" t="n"/>
      <c r="P74" s="48" t="n"/>
      <c r="Q74" s="48" t="n"/>
      <c r="R74" s="48" t="n"/>
      <c r="S74" s="48" t="n"/>
      <c r="T74" s="49" t="n"/>
    </row>
    <row r="75" ht="13.5" customHeight="1">
      <c r="A75" s="43" t="n"/>
      <c r="B75" s="51" t="inlineStr">
        <is>
          <t>isExpress</t>
        </is>
      </c>
      <c r="C75" s="45" t="n"/>
      <c r="D75" s="50" t="n"/>
      <c r="E75" s="53" t="n"/>
      <c r="F75" s="48" t="n"/>
      <c r="G75" s="48" t="n"/>
      <c r="H75" s="48" t="n"/>
      <c r="I75" s="48" t="n"/>
      <c r="J75" s="48" t="n"/>
      <c r="K75" s="48" t="n"/>
      <c r="L75" s="48" t="n"/>
      <c r="M75" s="48" t="n"/>
      <c r="N75" s="48" t="n"/>
      <c r="O75" s="48" t="n"/>
      <c r="P75" s="48" t="n"/>
      <c r="Q75" s="48" t="n"/>
      <c r="R75" s="48" t="n"/>
      <c r="S75" s="48" t="n"/>
      <c r="T75" s="49" t="n"/>
    </row>
    <row r="76" ht="13.5" customHeight="1">
      <c r="A76" s="43" t="n"/>
      <c r="B76" s="44" t="n"/>
      <c r="C76" s="45" t="n"/>
      <c r="D76" s="54" t="inlineStr">
        <is>
          <t>true</t>
        </is>
      </c>
      <c r="E76" s="53" t="n"/>
      <c r="F76" s="48" t="n"/>
      <c r="G76" s="48" t="n"/>
      <c r="H76" s="48" t="n"/>
      <c r="I76" s="55" t="inlineStr">
        <is>
          <t>O</t>
        </is>
      </c>
      <c r="J76" s="48" t="n"/>
      <c r="K76" s="55" t="inlineStr">
        <is>
          <t>O</t>
        </is>
      </c>
      <c r="L76" s="48" t="n"/>
      <c r="M76" s="48" t="n"/>
      <c r="N76" s="48" t="n"/>
      <c r="O76" s="48" t="n"/>
      <c r="P76" s="48" t="n"/>
      <c r="Q76" s="48" t="n"/>
      <c r="R76" s="48" t="n"/>
      <c r="S76" s="48" t="n"/>
      <c r="T76" s="49" t="n"/>
    </row>
    <row r="77" ht="13.5" customHeight="1">
      <c r="A77" s="43" t="n"/>
      <c r="B77" s="44" t="n"/>
      <c r="C77" s="45" t="n"/>
      <c r="D77" s="54" t="inlineStr">
        <is>
          <t>false</t>
        </is>
      </c>
      <c r="E77" s="53" t="n"/>
      <c r="F77" s="55" t="inlineStr">
        <is>
          <t>O</t>
        </is>
      </c>
      <c r="G77" s="55" t="inlineStr">
        <is>
          <t>O</t>
        </is>
      </c>
      <c r="H77" s="55" t="inlineStr">
        <is>
          <t>O</t>
        </is>
      </c>
      <c r="I77" s="48" t="n"/>
      <c r="J77" s="55" t="inlineStr">
        <is>
          <t>O</t>
        </is>
      </c>
      <c r="K77" s="48" t="n"/>
      <c r="L77" s="55" t="inlineStr">
        <is>
          <t>O</t>
        </is>
      </c>
      <c r="M77" s="48" t="n"/>
      <c r="N77" s="48" t="n"/>
      <c r="O77" s="48" t="n"/>
      <c r="P77" s="48" t="n"/>
      <c r="Q77" s="48" t="n"/>
      <c r="R77" s="48" t="n"/>
      <c r="S77" s="48" t="n"/>
      <c r="T77" s="49" t="n"/>
    </row>
    <row r="78" ht="13.5" customHeight="1">
      <c r="A78" s="56" t="inlineStr">
        <is>
          <t>Confirm</t>
        </is>
      </c>
      <c r="B78" s="57" t="inlineStr">
        <is>
          <t>Return</t>
        </is>
      </c>
      <c r="C78" s="58" t="n"/>
      <c r="D78" s="59" t="n"/>
      <c r="E78" s="60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2" t="n"/>
    </row>
    <row r="79" ht="13.5" customHeight="1">
      <c r="A79" s="63" t="n"/>
      <c r="B79" s="64" t="n"/>
      <c r="C79" s="65" t="n"/>
      <c r="D79" s="54" t="inlineStr">
        <is>
          <t>Invalid Order</t>
        </is>
      </c>
      <c r="E79" s="66" t="n"/>
      <c r="F79" s="55" t="inlineStr">
        <is>
          <t>O</t>
        </is>
      </c>
      <c r="G79" s="55" t="inlineStr">
        <is>
          <t>O</t>
        </is>
      </c>
      <c r="H79" s="55" t="inlineStr">
        <is>
          <t>O</t>
        </is>
      </c>
      <c r="I79" s="48" t="n"/>
      <c r="J79" s="48" t="n"/>
      <c r="K79" s="48" t="n"/>
      <c r="L79" s="48" t="n"/>
      <c r="M79" s="48" t="n"/>
      <c r="N79" s="48" t="n"/>
      <c r="O79" s="48" t="n"/>
      <c r="P79" s="48" t="n"/>
      <c r="Q79" s="48" t="n"/>
      <c r="R79" s="48" t="n"/>
      <c r="S79" s="48" t="n"/>
      <c r="T79" s="49" t="n"/>
    </row>
    <row r="80" ht="13.5" customHeight="1">
      <c r="A80" s="63" t="n"/>
      <c r="B80" s="64" t="n"/>
      <c r="C80" s="65" t="n"/>
      <c r="D80" s="54" t="inlineStr">
        <is>
          <t>Fee: 0 VND</t>
        </is>
      </c>
      <c r="E80" s="66" t="n"/>
      <c r="F80" s="48" t="n"/>
      <c r="G80" s="48" t="n"/>
      <c r="H80" s="48" t="n"/>
      <c r="I80" s="55" t="inlineStr">
        <is>
          <t>O</t>
        </is>
      </c>
      <c r="J80" s="48" t="n"/>
      <c r="K80" s="48" t="n"/>
      <c r="L80" s="48" t="n"/>
      <c r="M80" s="48" t="n"/>
      <c r="N80" s="48" t="n"/>
      <c r="O80" s="48" t="n"/>
      <c r="P80" s="48" t="n"/>
      <c r="Q80" s="48" t="n"/>
      <c r="R80" s="48" t="n"/>
      <c r="S80" s="48" t="n"/>
      <c r="T80" s="49" t="n"/>
    </row>
    <row r="81" ht="13.5" customHeight="1">
      <c r="A81" s="63" t="n"/>
      <c r="B81" s="64" t="n"/>
      <c r="C81" s="65" t="n"/>
      <c r="D81" s="54" t="inlineStr">
        <is>
          <t>Fee: 105000 VND</t>
        </is>
      </c>
      <c r="E81" s="66" t="n"/>
      <c r="F81" s="48" t="n"/>
      <c r="G81" s="48" t="n"/>
      <c r="H81" s="48" t="n"/>
      <c r="I81" s="48" t="n"/>
      <c r="J81" s="55" t="inlineStr">
        <is>
          <t>O</t>
        </is>
      </c>
      <c r="K81" s="48" t="n"/>
      <c r="L81" s="48" t="n"/>
      <c r="M81" s="48" t="n"/>
      <c r="N81" s="48" t="n"/>
      <c r="O81" s="48" t="n"/>
      <c r="P81" s="48" t="n"/>
      <c r="Q81" s="48" t="n"/>
      <c r="R81" s="48" t="n"/>
      <c r="S81" s="48" t="n"/>
      <c r="T81" s="49" t="n"/>
    </row>
    <row r="82" ht="13.5" customHeight="1">
      <c r="A82" s="63" t="n"/>
      <c r="B82" s="64" t="n"/>
      <c r="C82" s="65" t="n"/>
      <c r="D82" s="54" t="inlineStr">
        <is>
          <t>Fee: 70000 VND</t>
        </is>
      </c>
      <c r="E82" s="66" t="n"/>
      <c r="F82" s="48" t="n"/>
      <c r="G82" s="48" t="n"/>
      <c r="H82" s="48" t="n"/>
      <c r="I82" s="48" t="n"/>
      <c r="J82" s="48" t="n"/>
      <c r="K82" s="55" t="inlineStr">
        <is>
          <t>O</t>
        </is>
      </c>
      <c r="L82" s="48" t="n"/>
      <c r="M82" s="48" t="n"/>
      <c r="N82" s="48" t="n"/>
      <c r="O82" s="48" t="n"/>
      <c r="P82" s="48" t="n"/>
      <c r="Q82" s="48" t="n"/>
      <c r="R82" s="48" t="n"/>
      <c r="S82" s="48" t="n"/>
      <c r="T82" s="49" t="n"/>
    </row>
    <row r="83" ht="13.5" customHeight="1">
      <c r="A83" s="63" t="n"/>
      <c r="B83" s="64" t="n"/>
      <c r="C83" s="65" t="n"/>
      <c r="D83" s="54" t="inlineStr">
        <is>
          <t>Fee: 55000 VND</t>
        </is>
      </c>
      <c r="E83" s="66" t="n"/>
      <c r="F83" s="48" t="n"/>
      <c r="G83" s="48" t="n"/>
      <c r="H83" s="48" t="n"/>
      <c r="I83" s="48" t="n"/>
      <c r="J83" s="48" t="n"/>
      <c r="K83" s="48" t="n"/>
      <c r="L83" s="55" t="inlineStr">
        <is>
          <t>O</t>
        </is>
      </c>
      <c r="M83" s="48" t="n"/>
      <c r="N83" s="48" t="n"/>
      <c r="O83" s="48" t="n"/>
      <c r="P83" s="48" t="n"/>
      <c r="Q83" s="48" t="n"/>
      <c r="R83" s="48" t="n"/>
      <c r="S83" s="48" t="n"/>
      <c r="T83" s="49" t="n"/>
    </row>
    <row r="84" ht="13.5" customHeight="1">
      <c r="A84" s="63" t="n"/>
      <c r="B84" s="64" t="inlineStr">
        <is>
          <t>Exception</t>
        </is>
      </c>
      <c r="C84" s="65" t="n"/>
      <c r="D84" s="67" t="n"/>
      <c r="E84" s="66" t="n"/>
      <c r="F84" s="48" t="n"/>
      <c r="G84" s="48" t="n"/>
      <c r="H84" s="48" t="n"/>
      <c r="I84" s="48" t="n"/>
      <c r="J84" s="48" t="n"/>
      <c r="K84" s="48" t="n"/>
      <c r="L84" s="48" t="n"/>
      <c r="M84" s="48" t="n"/>
      <c r="N84" s="48" t="n"/>
      <c r="O84" s="48" t="n"/>
      <c r="P84" s="48" t="n"/>
      <c r="Q84" s="48" t="n"/>
      <c r="R84" s="48" t="n"/>
      <c r="S84" s="48" t="n"/>
      <c r="T84" s="49" t="n"/>
    </row>
    <row r="85" ht="13.5" customHeight="1">
      <c r="A85" s="63" t="n"/>
      <c r="B85" s="64" t="n"/>
      <c r="C85" s="65" t="n"/>
      <c r="D85" s="67" t="n"/>
      <c r="E85" s="66" t="n"/>
      <c r="F85" s="48" t="n"/>
      <c r="G85" s="48" t="n"/>
      <c r="H85" s="48" t="n"/>
      <c r="I85" s="48" t="n"/>
      <c r="J85" s="48" t="n"/>
      <c r="K85" s="48" t="n"/>
      <c r="L85" s="48" t="n"/>
      <c r="M85" s="48" t="n"/>
      <c r="N85" s="48" t="n"/>
      <c r="O85" s="48" t="n"/>
      <c r="P85" s="48" t="n"/>
      <c r="Q85" s="48" t="n"/>
      <c r="R85" s="48" t="n"/>
      <c r="S85" s="48" t="n"/>
      <c r="T85" s="49" t="n"/>
    </row>
    <row r="86" ht="13.5" customHeight="1">
      <c r="A86" s="63" t="n"/>
      <c r="B86" s="64" t="inlineStr">
        <is>
          <t>Log message</t>
        </is>
      </c>
      <c r="C86" s="65" t="n"/>
      <c r="D86" s="67" t="n"/>
      <c r="E86" s="66" t="n"/>
      <c r="F86" s="48" t="n"/>
      <c r="G86" s="48" t="n"/>
      <c r="H86" s="48" t="n"/>
      <c r="I86" s="48" t="n"/>
      <c r="J86" s="48" t="n"/>
      <c r="K86" s="48" t="n"/>
      <c r="L86" s="48" t="n"/>
      <c r="M86" s="48" t="n"/>
      <c r="N86" s="48" t="n"/>
      <c r="O86" s="48" t="n"/>
      <c r="P86" s="48" t="n"/>
      <c r="Q86" s="48" t="n"/>
      <c r="R86" s="48" t="n"/>
      <c r="S86" s="48" t="n"/>
      <c r="T86" s="49" t="n"/>
    </row>
    <row r="87" ht="13.5" customHeight="1">
      <c r="A87" s="63" t="n"/>
      <c r="B87" s="64" t="n"/>
      <c r="C87" s="65" t="n"/>
      <c r="D87" s="68" t="n"/>
      <c r="E87" s="66" t="n"/>
      <c r="F87" s="48" t="n"/>
      <c r="G87" s="48" t="n"/>
      <c r="H87" s="48" t="n"/>
      <c r="I87" s="48" t="n"/>
      <c r="J87" s="48" t="n"/>
      <c r="K87" s="48" t="n"/>
      <c r="L87" s="48" t="n"/>
      <c r="M87" s="48" t="n"/>
      <c r="N87" s="48" t="n"/>
      <c r="O87" s="48" t="n"/>
      <c r="P87" s="48" t="n"/>
      <c r="Q87" s="48" t="n"/>
      <c r="R87" s="48" t="n"/>
      <c r="S87" s="48" t="n"/>
      <c r="T87" s="49" t="n"/>
    </row>
    <row r="88" ht="13.5" customHeight="1">
      <c r="A88" s="69" t="n"/>
      <c r="B88" s="70" t="n"/>
      <c r="C88" s="71" t="n"/>
      <c r="D88" s="72" t="n"/>
      <c r="E88" s="73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5" t="n"/>
    </row>
    <row r="89" ht="13.5" customHeight="1">
      <c r="A89" s="63" t="inlineStr">
        <is>
          <t>Result</t>
        </is>
      </c>
      <c r="B89" s="115" t="inlineStr">
        <is>
          <t>Type(N : Normal, A : Abnormal, B : Boundary)</t>
        </is>
      </c>
      <c r="C89" s="133" t="n"/>
      <c r="D89" s="134" t="n"/>
      <c r="E89" s="76" t="n"/>
      <c r="F89" s="77" t="inlineStr">
        <is>
          <t>A</t>
        </is>
      </c>
      <c r="G89" s="77" t="inlineStr">
        <is>
          <t>A</t>
        </is>
      </c>
      <c r="H89" s="77" t="inlineStr">
        <is>
          <t>A</t>
        </is>
      </c>
      <c r="I89" s="77" t="inlineStr">
        <is>
          <t>B</t>
        </is>
      </c>
      <c r="J89" s="77" t="inlineStr">
        <is>
          <t>B</t>
        </is>
      </c>
      <c r="K89" s="77" t="inlineStr">
        <is>
          <t>B</t>
        </is>
      </c>
      <c r="L89" s="77" t="inlineStr">
        <is>
          <t>B</t>
        </is>
      </c>
      <c r="M89" s="77" t="n"/>
      <c r="N89" s="77" t="n"/>
      <c r="O89" s="77" t="n"/>
      <c r="P89" s="77" t="n"/>
      <c r="Q89" s="77" t="n"/>
      <c r="R89" s="77" t="n"/>
      <c r="S89" s="77" t="n"/>
      <c r="T89" s="78" t="n"/>
    </row>
    <row r="90" ht="13.5" customHeight="1">
      <c r="A90" s="63" t="n"/>
      <c r="B90" s="116" t="inlineStr">
        <is>
          <t>Passed/Failed</t>
        </is>
      </c>
      <c r="C90" s="126" t="n"/>
      <c r="D90" s="125" t="n"/>
      <c r="E90" s="79" t="n"/>
      <c r="F90" s="80" t="inlineStr">
        <is>
          <t>P</t>
        </is>
      </c>
      <c r="G90" s="80" t="inlineStr">
        <is>
          <t>P</t>
        </is>
      </c>
      <c r="H90" s="80" t="inlineStr">
        <is>
          <t>P</t>
        </is>
      </c>
      <c r="I90" s="80" t="inlineStr">
        <is>
          <t>P</t>
        </is>
      </c>
      <c r="J90" s="80" t="inlineStr">
        <is>
          <t>P</t>
        </is>
      </c>
      <c r="K90" s="80" t="inlineStr">
        <is>
          <t>P</t>
        </is>
      </c>
      <c r="L90" s="80" t="inlineStr">
        <is>
          <t>P</t>
        </is>
      </c>
      <c r="M90" s="80" t="n"/>
      <c r="N90" s="80" t="n"/>
      <c r="O90" s="80" t="n"/>
      <c r="P90" s="80" t="n"/>
      <c r="Q90" s="80" t="n"/>
      <c r="R90" s="80" t="n"/>
      <c r="S90" s="80" t="n"/>
      <c r="T90" s="81" t="n"/>
    </row>
    <row r="91" ht="51.75" customHeight="1">
      <c r="A91" s="63" t="n"/>
      <c r="B91" s="117" t="inlineStr">
        <is>
          <t>Executed Date</t>
        </is>
      </c>
      <c r="C91" s="126" t="n"/>
      <c r="D91" s="125" t="n"/>
      <c r="E91" s="82" t="n"/>
      <c r="F91" s="135" t="n">
        <v>46300</v>
      </c>
      <c r="G91" s="135" t="n">
        <v>46300</v>
      </c>
      <c r="H91" s="135" t="n">
        <v>46300</v>
      </c>
      <c r="I91" s="135" t="n">
        <v>46300</v>
      </c>
      <c r="J91" s="135" t="n">
        <v>46300</v>
      </c>
      <c r="K91" s="135" t="n">
        <v>46300</v>
      </c>
      <c r="L91" s="135" t="n">
        <v>46300</v>
      </c>
      <c r="M91" s="136" t="n"/>
      <c r="N91" s="136" t="n"/>
      <c r="O91" s="136" t="n"/>
      <c r="P91" s="136" t="n"/>
      <c r="Q91" s="136" t="n"/>
      <c r="R91" s="136" t="n"/>
      <c r="S91" s="136" t="n"/>
      <c r="T91" s="137" t="n"/>
    </row>
    <row r="92" ht="10.5" customHeight="1">
      <c r="A92" s="69" t="n"/>
      <c r="B92" s="118" t="inlineStr">
        <is>
          <t>Defect ID</t>
        </is>
      </c>
      <c r="C92" s="129" t="n"/>
      <c r="D92" s="128" t="n"/>
      <c r="E92" s="86" t="n"/>
      <c r="F92" s="87" t="n"/>
      <c r="G92" s="87" t="n"/>
      <c r="H92" s="87" t="n"/>
      <c r="I92" s="87" t="n"/>
      <c r="J92" s="87" t="n"/>
      <c r="K92" s="87" t="n"/>
      <c r="L92" s="87" t="n"/>
      <c r="M92" s="87" t="n"/>
      <c r="N92" s="87" t="n"/>
      <c r="O92" s="87" t="n"/>
      <c r="P92" s="87" t="n"/>
      <c r="Q92" s="87" t="n"/>
      <c r="R92" s="87" t="n"/>
      <c r="S92" s="87" t="n"/>
      <c r="T92" s="88" t="n"/>
    </row>
    <row r="93"/>
    <row r="94"/>
    <row r="95">
      <c r="A95" s="34" t="n"/>
      <c r="B95" s="89" t="n"/>
    </row>
    <row r="96">
      <c r="B96" s="90" t="n"/>
      <c r="C96" s="91" t="n"/>
    </row>
  </sheetData>
  <mergeCells count="48">
    <mergeCell ref="C1:E1"/>
    <mergeCell ref="F5:K5"/>
    <mergeCell ref="O5:T5"/>
    <mergeCell ref="A45:B45"/>
    <mergeCell ref="O4:T4"/>
    <mergeCell ref="A1:B1"/>
    <mergeCell ref="F2:K2"/>
    <mergeCell ref="L4:N4"/>
    <mergeCell ref="C43:E43"/>
    <mergeCell ref="B38:D38"/>
    <mergeCell ref="C46:E46"/>
    <mergeCell ref="F47:K47"/>
    <mergeCell ref="O46:T46"/>
    <mergeCell ref="B37:D37"/>
    <mergeCell ref="F46:K46"/>
    <mergeCell ref="L1:T1"/>
    <mergeCell ref="O47:T47"/>
    <mergeCell ref="A46:B46"/>
    <mergeCell ref="B92:D92"/>
    <mergeCell ref="C44:D44"/>
    <mergeCell ref="L44:T44"/>
    <mergeCell ref="F43:K43"/>
    <mergeCell ref="A49:D49"/>
    <mergeCell ref="A3:B3"/>
    <mergeCell ref="B89:D89"/>
    <mergeCell ref="B36:D36"/>
    <mergeCell ref="L46:N46"/>
    <mergeCell ref="A2:B2"/>
    <mergeCell ref="C2:D2"/>
    <mergeCell ref="A47:B47"/>
    <mergeCell ref="A5:B5"/>
    <mergeCell ref="F1:K1"/>
    <mergeCell ref="A7:D7"/>
    <mergeCell ref="F4:K4"/>
    <mergeCell ref="B91:D91"/>
    <mergeCell ref="F44:K44"/>
    <mergeCell ref="C3:T3"/>
    <mergeCell ref="A4:B4"/>
    <mergeCell ref="B90:D90"/>
    <mergeCell ref="L2:T2"/>
    <mergeCell ref="C5:E5"/>
    <mergeCell ref="A43:B43"/>
    <mergeCell ref="C4:E4"/>
    <mergeCell ref="A44:B44"/>
    <mergeCell ref="C45:T45"/>
    <mergeCell ref="B39:D39"/>
    <mergeCell ref="L43:T43"/>
    <mergeCell ref="C47:E47"/>
  </mergeCells>
  <dataValidations count="3">
    <dataValidation sqref="F8:T35 F50:T88" showDropDown="0" showInputMessage="1" showErrorMessage="1" allowBlank="0" type="list">
      <formula1>"O,"</formula1>
      <formula2>0</formula2>
    </dataValidation>
    <dataValidation sqref="F36:T36 F89:T89" showDropDown="0" showInputMessage="1" showErrorMessage="1" allowBlank="0" type="list">
      <formula1>"N,A,B,"</formula1>
      <formula2>0</formula2>
    </dataValidation>
    <dataValidation sqref="F37:T37 F90:T90" showDropDown="0" showInputMessage="1" showErrorMessage="1" allowBlank="0" type="list">
      <formula1>"P,F,"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zoomScaleNormal="100" workbookViewId="0">
      <selection activeCell="A4" sqref="A4"/>
    </sheetView>
  </sheetViews>
  <sheetFormatPr baseColWidth="8" defaultColWidth="9" defaultRowHeight="10"/>
  <cols>
    <col width="8" customWidth="1" style="92" min="1" max="1"/>
    <col width="28" customWidth="1" style="92" min="2" max="2"/>
    <col width="25" customWidth="1" style="92" min="3" max="3"/>
    <col width="35" customWidth="1" style="92" min="4" max="6"/>
    <col width="35" customWidth="1" min="5" max="5"/>
    <col width="25" customWidth="1" min="6" max="6"/>
    <col width="12" customWidth="1" style="92" min="7" max="7"/>
    <col width="15" customWidth="1" style="92" min="8" max="8"/>
    <col width="25" customWidth="1" style="92" min="9" max="9"/>
    <col width="9" customWidth="1" style="92" min="10" max="16384"/>
  </cols>
  <sheetData>
    <row r="1" ht="19.5" customHeight="1">
      <c r="A1" s="119" t="inlineStr">
        <is>
          <t>Test case</t>
        </is>
      </c>
    </row>
    <row r="2" ht="12.75" customHeight="1">
      <c r="A2" s="93" t="n"/>
      <c r="B2" s="93" t="n"/>
      <c r="C2" s="94" t="n"/>
      <c r="D2" s="95">
        <f>"Pass: "&amp;COUNTIF($G$5:$G$940,"Pass")</f>
        <v/>
      </c>
      <c r="E2" s="95" t="n"/>
      <c r="F2" s="96">
        <f>"Untested: "&amp;COUNTIF($G$5:$G$940,"Untest")</f>
        <v/>
      </c>
      <c r="G2" s="93" t="n"/>
      <c r="H2" s="97" t="n"/>
      <c r="I2" s="97" t="n"/>
    </row>
    <row r="3" ht="24.75" customHeight="1">
      <c r="A3" s="98" t="inlineStr">
        <is>
          <t>Module Code</t>
        </is>
      </c>
      <c r="B3" s="99" t="inlineStr">
        <is>
          <t>calcOrderFee</t>
        </is>
      </c>
      <c r="C3" s="100" t="n"/>
      <c r="D3" s="95">
        <f>"Fail: "&amp;COUNTIF($G$5:$G$940,"Fail")</f>
        <v/>
      </c>
      <c r="E3" s="95" t="n"/>
      <c r="F3" s="96">
        <f>"N/A: "&amp;COUNTIF($G$5:$G$940,"N/A")</f>
        <v/>
      </c>
      <c r="G3" s="93" t="n"/>
      <c r="H3" s="97" t="n"/>
      <c r="I3" s="97" t="n"/>
    </row>
    <row r="4" ht="19.5" customHeight="1">
      <c r="A4" s="101" t="inlineStr">
        <is>
          <t>ID</t>
        </is>
      </c>
      <c r="B4" s="101" t="inlineStr">
        <is>
          <t>Test Case Description</t>
        </is>
      </c>
      <c r="C4" s="101" t="inlineStr">
        <is>
          <t>Pre -Condition</t>
        </is>
      </c>
      <c r="D4" s="101" t="inlineStr">
        <is>
          <t>Test Case Procedure</t>
        </is>
      </c>
      <c r="E4" s="101" t="inlineStr">
        <is>
          <t>Test Data</t>
        </is>
      </c>
      <c r="F4" s="101" t="inlineStr">
        <is>
          <t>Expected Output</t>
        </is>
      </c>
      <c r="G4" s="101" t="inlineStr">
        <is>
          <t>Status</t>
        </is>
      </c>
      <c r="H4" s="101" t="inlineStr">
        <is>
          <t>Test date
(dd/mm/yyyy)</t>
        </is>
      </c>
      <c r="I4" s="101" t="inlineStr">
        <is>
          <t>Note</t>
        </is>
      </c>
    </row>
    <row r="5" ht="39.75" customHeight="1">
      <c r="A5" s="139" t="inlineStr">
        <is>
          <t>TC01</t>
        </is>
      </c>
      <c r="B5" s="140" t="inlineStr">
        <is>
          <t>Verify that system returns "Invalid Order" when orderValue is less than or equal to 0.</t>
        </is>
      </c>
      <c r="C5" s="140" t="inlineStr">
        <is>
          <t>System is open at calcOrderFee function.</t>
        </is>
      </c>
      <c r="D5" s="140" t="inlineStr">
        <is>
          <t>1. Input orderValue = 0.
2. Input weightKg = 3.
3. Input isGold = false, hasVoucher = false, isExpress = true.
4. Execute calcOrderFee method.</t>
        </is>
      </c>
      <c r="E5" s="140" t="inlineStr">
        <is>
          <t>orderValue = 0, weightKg = 3, isGold = false, hasVoucher = false, isExpress = true</t>
        </is>
      </c>
      <c r="F5" s="140" t="inlineStr">
        <is>
          <t>Returns "Invalid Order"</t>
        </is>
      </c>
      <c r="G5" s="140" t="inlineStr">
        <is>
          <t>Pass</t>
        </is>
      </c>
      <c r="H5" s="141" t="inlineStr">
        <is>
          <t>05/10/2026</t>
        </is>
      </c>
      <c r="I5" s="140" t="inlineStr">
        <is>
          <t>Boundary Value Analysis</t>
        </is>
      </c>
    </row>
    <row r="6">
      <c r="A6" s="139" t="inlineStr">
        <is>
          <t>TC02</t>
        </is>
      </c>
      <c r="B6" s="140" t="inlineStr">
        <is>
          <t>Verify that system returns "Invalid Order" when weightKg is less than 1 or greater than 30.</t>
        </is>
      </c>
      <c r="C6" s="140" t="inlineStr">
        <is>
          <t>System is open at calcOrderFee function.</t>
        </is>
      </c>
      <c r="D6" s="140" t="inlineStr">
        <is>
          <t>1. Input orderValue = 300000.
2. Input weightKg = 0.
3. Input isGold = false, hasVoucher = false, isExpress = false.
4. Execute calcOrderFee method.</t>
        </is>
      </c>
      <c r="E6" s="140" t="inlineStr">
        <is>
          <t>orderValue = 300000, weightKg = 0, isGold = false, hasVoucher = false, isExpress = false</t>
        </is>
      </c>
      <c r="F6" s="140" t="inlineStr">
        <is>
          <t>Returns "Invalid Order"</t>
        </is>
      </c>
      <c r="G6" s="140" t="inlineStr">
        <is>
          <t>Pass</t>
        </is>
      </c>
      <c r="H6" s="141" t="inlineStr">
        <is>
          <t>05/10/2026</t>
        </is>
      </c>
      <c r="I6" s="140" t="inlineStr">
        <is>
          <t>Boundary Value Analysis</t>
        </is>
      </c>
    </row>
    <row r="7">
      <c r="A7" s="140" t="inlineStr">
        <is>
          <t>TC03</t>
        </is>
      </c>
      <c r="B7" s="140" t="inlineStr">
        <is>
          <t>Verify that standard delivery fee is calculated correctly with normal weight without waiver.</t>
        </is>
      </c>
      <c r="C7" s="140" t="inlineStr">
        <is>
          <t>System is open at calcOrderFee function.</t>
        </is>
      </c>
      <c r="D7" s="140" t="inlineStr">
        <is>
          <t>1. Input orderValue = 300000.
2. Input weightKg = 3.
3. Input isGold = false, hasVoucher = false, isExpress = false.
4. Execute calcOrderFee method.</t>
        </is>
      </c>
      <c r="E7" s="140" t="inlineStr">
        <is>
          <t>orderValue = 300000, weightKg = 3, isGold = false, hasVoucher = false, isExpress = false</t>
        </is>
      </c>
      <c r="F7" s="140" t="inlineStr">
        <is>
          <t>Returns "Fee: 20000 VND"</t>
        </is>
      </c>
      <c r="G7" s="140" t="inlineStr">
        <is>
          <t>Pass</t>
        </is>
      </c>
      <c r="H7" s="141" t="inlineStr">
        <is>
          <t>05/10/2026</t>
        </is>
      </c>
      <c r="I7" s="140" t="inlineStr">
        <is>
          <t>Equivalence Partitioning</t>
        </is>
      </c>
    </row>
    <row r="8">
      <c r="A8" s="139" t="inlineStr">
        <is>
          <t>TC04</t>
        </is>
      </c>
      <c r="B8" s="140" t="inlineStr">
        <is>
          <t>Verify that base fee is waived when customer is Gold member and orderValue &gt;= 500000 VND.</t>
        </is>
      </c>
      <c r="C8" s="140" t="inlineStr">
        <is>
          <t>System is open at calcOrderFee function.</t>
        </is>
      </c>
      <c r="D8" s="140" t="inlineStr">
        <is>
          <t>1. Input orderValue = 600000.
2. Input weightKg = 3.
3. Input isGold = true, hasVoucher = false, isExpress = true.
4. Execute calcOrderFee method.</t>
        </is>
      </c>
      <c r="E8" s="140" t="inlineStr">
        <is>
          <t>orderValue = 600000, weightKg = 3, isGold = true, hasVoucher = false, isExpress = true</t>
        </is>
      </c>
      <c r="F8" s="140" t="inlineStr">
        <is>
          <t>Returns "Fee: 0 VND"</t>
        </is>
      </c>
      <c r="G8" s="140" t="inlineStr">
        <is>
          <t>Pass</t>
        </is>
      </c>
      <c r="H8" s="141" t="inlineStr">
        <is>
          <t>05/10/2026</t>
        </is>
      </c>
      <c r="I8" s="140" t="inlineStr">
        <is>
          <t>Decision Table / MC/DC</t>
        </is>
      </c>
    </row>
    <row r="9">
      <c r="A9" s="139" t="inlineStr">
        <is>
          <t>TC05</t>
        </is>
      </c>
      <c r="B9" s="140" t="inlineStr">
        <is>
          <t>Verify that base fee is waived when customer has free-shipping voucher and orderValue &gt;= 500000 VND.</t>
        </is>
      </c>
      <c r="C9" s="140" t="inlineStr">
        <is>
          <t>System is open at calcOrderFee function.</t>
        </is>
      </c>
      <c r="D9" s="140" t="inlineStr">
        <is>
          <t>1. Input orderValue = 600000.
2. Input weightKg = 3.
3. Input isGold = false, hasVoucher = true, isExpress = true.
4. Execute calcOrderFee method.</t>
        </is>
      </c>
      <c r="E9" s="140" t="inlineStr">
        <is>
          <t>orderValue = 600000, weightKg = 3, isGold = false, hasVoucher = true, isExpress = true</t>
        </is>
      </c>
      <c r="F9" s="140" t="inlineStr">
        <is>
          <t>Returns "Fee: 0 VND"</t>
        </is>
      </c>
      <c r="G9" s="140" t="inlineStr">
        <is>
          <t>Pass</t>
        </is>
      </c>
      <c r="H9" s="141" t="inlineStr">
        <is>
          <t>05/10/2026</t>
        </is>
      </c>
      <c r="I9" s="140" t="inlineStr">
        <is>
          <t>Decision Table / MC/DC</t>
        </is>
      </c>
    </row>
    <row r="10">
      <c r="A10" s="142" t="inlineStr">
        <is>
          <t>TC06</t>
        </is>
      </c>
      <c r="B10" s="142" t="inlineStr">
        <is>
          <t>Verify weight surcharge when weight exceeds 5kg (extra &lt;= 10kg).</t>
        </is>
      </c>
      <c r="C10" s="142" t="inlineStr">
        <is>
          <t>System is open at calcOrderFee function.</t>
        </is>
      </c>
      <c r="D10" s="142" t="inlineStr">
        <is>
          <t>1. Input orderValue = 400000.
2. Input weightKg = 10.
3. Input isGold = false, hasVoucher = false, isExpress = true.
4. Execute calcOrderFee method.</t>
        </is>
      </c>
      <c r="E10" s="142" t="inlineStr">
        <is>
          <t>orderValue = 400000, weightKg = 10, isGold = false, hasVoucher = false, isExpress = true</t>
        </is>
      </c>
      <c r="F10" s="142" t="inlineStr">
        <is>
          <t>Returns "Fee: 55000 VND"</t>
        </is>
      </c>
      <c r="G10" s="142" t="inlineStr">
        <is>
          <t>Pass</t>
        </is>
      </c>
      <c r="H10" s="142" t="inlineStr">
        <is>
          <t>05/10/2026</t>
        </is>
      </c>
      <c r="I10" s="142" t="inlineStr">
        <is>
          <t>Boundary Value Analysis</t>
        </is>
      </c>
    </row>
    <row r="11">
      <c r="A11" s="142" t="n"/>
      <c r="B11" s="143" t="n"/>
      <c r="C11" s="143" t="n"/>
      <c r="D11" s="142" t="n"/>
      <c r="E11" s="142" t="n"/>
      <c r="F11" s="142" t="n"/>
      <c r="G11" s="142" t="n"/>
      <c r="H11" s="142" t="n"/>
      <c r="I11" s="142" t="n"/>
    </row>
    <row r="12" ht="102" customHeight="1">
      <c r="A12" s="142" t="n"/>
      <c r="B12" s="142" t="n"/>
      <c r="C12" s="142" t="n"/>
      <c r="D12" s="142" t="n"/>
      <c r="E12" s="142" t="n"/>
      <c r="F12" s="142" t="n"/>
      <c r="G12" s="142" t="n"/>
      <c r="H12" s="142" t="n"/>
      <c r="I12" s="142" t="n"/>
    </row>
    <row r="13">
      <c r="A13" s="142" t="n"/>
      <c r="B13" s="142" t="n"/>
      <c r="C13" s="142" t="n"/>
      <c r="D13" s="142" t="n"/>
      <c r="E13" s="142" t="n"/>
      <c r="F13" s="142" t="n"/>
      <c r="G13" s="142" t="n"/>
      <c r="H13" s="142" t="n"/>
      <c r="I13" s="142" t="n"/>
    </row>
    <row r="14">
      <c r="A14" s="142" t="n"/>
      <c r="B14" s="142" t="n"/>
      <c r="C14" s="142" t="n"/>
      <c r="D14" s="142" t="n"/>
      <c r="E14" s="142" t="n"/>
      <c r="F14" s="142" t="n"/>
      <c r="G14" s="142" t="n"/>
      <c r="H14" s="142" t="n"/>
      <c r="I14" s="142" t="n"/>
    </row>
  </sheetData>
  <mergeCells count="1">
    <mergeCell ref="A1:I1"/>
  </mergeCells>
  <dataValidations count="1">
    <dataValidation sqref="G5:G9" showDropDown="0" showInputMessage="0" showErrorMessage="0" allowBlank="0" type="list" operator="equal">
      <formula1>"Pass,Fail,Not Run,N/A"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 P</dc:creator>
  <dc:language xmlns:dc="http://purl.org/dc/elements/1.1/">en-US</dc:language>
  <dcterms:created xmlns:dcterms="http://purl.org/dc/terms/" xmlns:xsi="http://www.w3.org/2001/XMLSchema-instance" xsi:type="dcterms:W3CDTF">2023-02-26T13:32:36Z</dcterms:created>
  <dcterms:modified xmlns:dcterms="http://purl.org/dc/terms/" xmlns:xsi="http://www.w3.org/2001/XMLSchema-instance" xsi:type="dcterms:W3CDTF">2026-10-06T16:31:44Z</dcterms:modified>
  <cp:lastModifiedBy>Nem Hoàng</cp:lastModifiedBy>
  <cp:revision>0</cp:revision>
</cp:coreProperties>
</file>